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hdrinc-my.sharepoint.com/personal/ctran_hdrinc_com/Documents/IDE-Methodist/"/>
    </mc:Choice>
  </mc:AlternateContent>
  <xr:revisionPtr revIDLastSave="0" documentId="8_{1A2DCFA6-800E-4899-8A81-6CC2C44AA0F2}" xr6:coauthVersionLast="47" xr6:coauthVersionMax="47" xr10:uidLastSave="{00000000-0000-0000-0000-000000000000}"/>
  <bookViews>
    <workbookView xWindow="-25635" yWindow="1080" windowWidth="21600" windowHeight="12645" xr2:uid="{11727772-674E-418F-BCE6-AB52F783BBAB}"/>
  </bookViews>
  <sheets>
    <sheet name="Typical Bed Unit-32 " sheetId="3" r:id="rId1"/>
    <sheet name="Typical Bed Unit-32 ICU" sheetId="2" r:id="rId2"/>
    <sheet name="Emergency" sheetId="4" r:id="rId3"/>
    <sheet name="Imaging-Satellite ED" sheetId="5" r:id="rId4"/>
    <sheet name="CV Center - Imaging" sheetId="6" r:id="rId5"/>
    <sheet name="Procedural-11" sheetId="7" r:id="rId6"/>
    <sheet name="Endo GI-2" sheetId="8" r:id="rId7"/>
    <sheet name="PACUPrepRecov" sheetId="9" r:id="rId8"/>
    <sheet name="CSPD-NEW 2nd" sheetId="10" r:id="rId9"/>
    <sheet name="Dialysis-Bedside" sheetId="11" r:id="rId10"/>
    <sheet name="OP Draw" sheetId="12" r:id="rId11"/>
    <sheet name="Lab-RENO" sheetId="13" r:id="rId12"/>
    <sheet name="Satellite Pharmacy" sheetId="14" r:id="rId13"/>
  </sheets>
  <externalReferences>
    <externalReference r:id="rId14"/>
    <externalReference r:id="rId15"/>
    <externalReference r:id="rId16"/>
  </externalReferences>
  <definedNames>
    <definedName name="\0" localSheetId="4">#REF!</definedName>
    <definedName name="\0" localSheetId="3">#REF!</definedName>
    <definedName name="\0">#REF!</definedName>
    <definedName name="\a" localSheetId="4">#REF!</definedName>
    <definedName name="\a" localSheetId="3">#REF!</definedName>
    <definedName name="\a">#REF!</definedName>
    <definedName name="\b" localSheetId="4">#REF!</definedName>
    <definedName name="\b" localSheetId="3">#REF!</definedName>
    <definedName name="\b">#REF!</definedName>
    <definedName name="\c" localSheetId="4">#REF!</definedName>
    <definedName name="\c" localSheetId="3">#REF!</definedName>
    <definedName name="\c">#REF!</definedName>
    <definedName name="\E" localSheetId="4">#REF!</definedName>
    <definedName name="\E" localSheetId="3">#REF!</definedName>
    <definedName name="\E">#REF!</definedName>
    <definedName name="_ed3" localSheetId="8" hidden="1">{"ADT INDEX",#N/A,FALSE,"Sheet1"}</definedName>
    <definedName name="_ed3" localSheetId="4" hidden="1">{"ADT INDEX",#N/A,FALSE,"Sheet1"}</definedName>
    <definedName name="_ed3" localSheetId="9" hidden="1">{"ADT INDEX",#N/A,FALSE,"Sheet1"}</definedName>
    <definedName name="_ed3" localSheetId="2" hidden="1">{"ADT INDEX",#N/A,FALSE,"Sheet1"}</definedName>
    <definedName name="_ed3" localSheetId="6" hidden="1">{"ADT INDEX",#N/A,FALSE,"Sheet1"}</definedName>
    <definedName name="_ed3" localSheetId="3" hidden="1">{"ADT INDEX",#N/A,FALSE,"Sheet1"}</definedName>
    <definedName name="_ed3" localSheetId="11" hidden="1">{"ADT INDEX",#N/A,FALSE,"Sheet1"}</definedName>
    <definedName name="_ed3" localSheetId="10" hidden="1">{"ADT INDEX",#N/A,FALSE,"Sheet1"}</definedName>
    <definedName name="_ed3" localSheetId="7" hidden="1">{"ADT INDEX",#N/A,FALSE,"Sheet1"}</definedName>
    <definedName name="_ed3" localSheetId="5" hidden="1">{"ADT INDEX",#N/A,FALSE,"Sheet1"}</definedName>
    <definedName name="_ed3" localSheetId="12" hidden="1">{"ADT INDEX",#N/A,FALSE,"Sheet1"}</definedName>
    <definedName name="_ed3" localSheetId="0" hidden="1">{"ADT INDEX",#N/A,FALSE,"Sheet1"}</definedName>
    <definedName name="_ed3" hidden="1">{"ADT INDEX",#N/A,FALSE,"Sheet1"}</definedName>
    <definedName name="_Key1" localSheetId="4" hidden="1">#REF!</definedName>
    <definedName name="_Key1" localSheetId="3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localSheetId="3" hidden="1">#REF!</definedName>
    <definedName name="_Sort" hidden="1">#REF!</definedName>
    <definedName name="aaaaa" localSheetId="9">#REF!</definedName>
    <definedName name="aaaaa" localSheetId="11">#REF!</definedName>
    <definedName name="aaaaa" localSheetId="10">#REF!</definedName>
    <definedName name="aaaaa" localSheetId="12">#REF!</definedName>
    <definedName name="aaaaa">#REF!</definedName>
    <definedName name="Administrators" localSheetId="4">#REF!</definedName>
    <definedName name="Administrators" localSheetId="3">#REF!</definedName>
    <definedName name="Administrators">#REF!</definedName>
    <definedName name="ALLDATA" localSheetId="4">#REF!</definedName>
    <definedName name="ALLDATA" localSheetId="3">#REF!</definedName>
    <definedName name="ALLDATA">#REF!</definedName>
    <definedName name="AllDataB" localSheetId="4">#REF!</definedName>
    <definedName name="AllDataB" localSheetId="3">#REF!</definedName>
    <definedName name="AllDataB">#REF!</definedName>
    <definedName name="ALLDATAWS" localSheetId="4">#REF!</definedName>
    <definedName name="ALLDATAWS" localSheetId="3">#REF!</definedName>
    <definedName name="ALLDATAWS">#REF!</definedName>
    <definedName name="Aug26Qry" localSheetId="4">#REF!</definedName>
    <definedName name="Aug26Qry" localSheetId="3">#REF!</definedName>
    <definedName name="Aug26Qry">#REF!</definedName>
    <definedName name="BORDER" localSheetId="4">#REF!</definedName>
    <definedName name="BORDER" localSheetId="3">#REF!</definedName>
    <definedName name="BORDER">#REF!</definedName>
    <definedName name="BUDGET" localSheetId="4">#REF!</definedName>
    <definedName name="BUDGET" localSheetId="3">#REF!</definedName>
    <definedName name="BUDGET">#REF!</definedName>
    <definedName name="CARDSURG" localSheetId="4">[1]Baseline_DRGUseRates!#REF!</definedName>
    <definedName name="CARDSURG" localSheetId="3">[1]Baseline_DRGUseRates!#REF!</definedName>
    <definedName name="CARDSURG">#REF!</definedName>
    <definedName name="CC" localSheetId="4">#REF!</definedName>
    <definedName name="CC" localSheetId="3">#REF!</definedName>
    <definedName name="CC">#REF!</definedName>
    <definedName name="cc_map" localSheetId="4">[2]map!$A$10:$B$253</definedName>
    <definedName name="cc_map" localSheetId="3">[2]map!$A$10:$B$253</definedName>
    <definedName name="cc_map">#REF!</definedName>
    <definedName name="Copy">#REF!</definedName>
    <definedName name="CT" localSheetId="4">#REF!</definedName>
    <definedName name="CT" localSheetId="3">#REF!</definedName>
    <definedName name="CT">#REF!</definedName>
    <definedName name="data" localSheetId="4">#REF!</definedName>
    <definedName name="data" localSheetId="3">#REF!</definedName>
    <definedName name="data">#REF!</definedName>
    <definedName name="data99" localSheetId="4">#REF!</definedName>
    <definedName name="data99" localSheetId="3">#REF!</definedName>
    <definedName name="data99">#REF!</definedName>
    <definedName name="_xlnm.Database" localSheetId="4">#REF!</definedName>
    <definedName name="_xlnm.Database" localSheetId="3">#REF!</definedName>
    <definedName name="_xlnm.Database">#REF!</definedName>
    <definedName name="DGSF" localSheetId="4">#REF!</definedName>
    <definedName name="DGSF" localSheetId="3">#REF!</definedName>
    <definedName name="DGSF">#REF!</definedName>
    <definedName name="Endo">#REF!</definedName>
    <definedName name="ENTSURG" localSheetId="4">[1]Baseline_DRGUseRates!#REF!</definedName>
    <definedName name="ENTSURG" localSheetId="3">[1]Baseline_DRGUseRates!#REF!</definedName>
    <definedName name="ENTSURG">#REF!</definedName>
    <definedName name="Excel_Report___Export_View" localSheetId="4">#REF!</definedName>
    <definedName name="Excel_Report___Export_View" localSheetId="3">#REF!</definedName>
    <definedName name="Excel_Report___Export_View">#REF!</definedName>
    <definedName name="FIRSTYR" localSheetId="4">#REF!</definedName>
    <definedName name="FIRSTYR" localSheetId="3">#REF!</definedName>
    <definedName name="FIRSTYR">#REF!</definedName>
    <definedName name="forsort" localSheetId="4">#REF!</definedName>
    <definedName name="forsort" localSheetId="3">#REF!</definedName>
    <definedName name="forsort">#REF!</definedName>
    <definedName name="GSURG" localSheetId="4">[1]Baseline_DRGUseRates!#REF!</definedName>
    <definedName name="GSURG" localSheetId="3">[1]Baseline_DRGUseRates!#REF!</definedName>
    <definedName name="GSURG">#REF!</definedName>
    <definedName name="GYNSURG" localSheetId="4">[1]Baseline_DRGUseRates!#REF!</definedName>
    <definedName name="GYNSURG" localSheetId="3">[1]Baseline_DRGUseRates!#REF!</definedName>
    <definedName name="GYNSURG">#REF!</definedName>
    <definedName name="insta" localSheetId="9">#REF!</definedName>
    <definedName name="insta" localSheetId="11">#REF!</definedName>
    <definedName name="insta" localSheetId="10">#REF!</definedName>
    <definedName name="insta" localSheetId="12">#REF!</definedName>
    <definedName name="insta">#REF!</definedName>
    <definedName name="joesephinik" localSheetId="4">#REF!</definedName>
    <definedName name="joesephinik" localSheetId="3">#REF!</definedName>
    <definedName name="joesephinik">#REF!</definedName>
    <definedName name="Lab" localSheetId="9">#REF!</definedName>
    <definedName name="Lab">#REF!</definedName>
    <definedName name="lllll" localSheetId="4">#REF!</definedName>
    <definedName name="lllll" localSheetId="3">#REF!</definedName>
    <definedName name="lllll">#REF!</definedName>
    <definedName name="LOOP" localSheetId="4">#REF!</definedName>
    <definedName name="LOOP" localSheetId="3">#REF!</definedName>
    <definedName name="LOOP">#REF!</definedName>
    <definedName name="mydata" localSheetId="4">'[3]00'!$A$1:$L$1415</definedName>
    <definedName name="mydata" localSheetId="3">'[3]00'!$A$1:$L$1415</definedName>
    <definedName name="mydata">#REF!</definedName>
    <definedName name="mytable" localSheetId="4">#REF!</definedName>
    <definedName name="mytable" localSheetId="3">#REF!</definedName>
    <definedName name="mytable">#REF!</definedName>
    <definedName name="mytable1" localSheetId="4">#REF!</definedName>
    <definedName name="mytable1" localSheetId="3">#REF!</definedName>
    <definedName name="mytable1">#REF!</definedName>
    <definedName name="name" localSheetId="8" hidden="1">{"PATIENTDAYS",#N/A,FALSE,"Sheet1";"TotalInsOuts",#N/A,FALSE,"Sheet1"}</definedName>
    <definedName name="name" localSheetId="4" hidden="1">{"PATIENTDAYS",#N/A,FALSE,"Sheet1";"TotalInsOuts",#N/A,FALSE,"Sheet1"}</definedName>
    <definedName name="name" localSheetId="9" hidden="1">{"PATIENTDAYS",#N/A,FALSE,"Sheet1";"TotalInsOuts",#N/A,FALSE,"Sheet1"}</definedName>
    <definedName name="name" localSheetId="2" hidden="1">{"PATIENTDAYS",#N/A,FALSE,"Sheet1";"TotalInsOuts",#N/A,FALSE,"Sheet1"}</definedName>
    <definedName name="name" localSheetId="6" hidden="1">{"PATIENTDAYS",#N/A,FALSE,"Sheet1";"TotalInsOuts",#N/A,FALSE,"Sheet1"}</definedName>
    <definedName name="name" localSheetId="3" hidden="1">{"PATIENTDAYS",#N/A,FALSE,"Sheet1";"TotalInsOuts",#N/A,FALSE,"Sheet1"}</definedName>
    <definedName name="name" localSheetId="11" hidden="1">{"PATIENTDAYS",#N/A,FALSE,"Sheet1";"TotalInsOuts",#N/A,FALSE,"Sheet1"}</definedName>
    <definedName name="name" localSheetId="10" hidden="1">{"PATIENTDAYS",#N/A,FALSE,"Sheet1";"TotalInsOuts",#N/A,FALSE,"Sheet1"}</definedName>
    <definedName name="name" localSheetId="7" hidden="1">{"PATIENTDAYS",#N/A,FALSE,"Sheet1";"TotalInsOuts",#N/A,FALSE,"Sheet1"}</definedName>
    <definedName name="name" localSheetId="5" hidden="1">{"PATIENTDAYS",#N/A,FALSE,"Sheet1";"TotalInsOuts",#N/A,FALSE,"Sheet1"}</definedName>
    <definedName name="name" localSheetId="12" hidden="1">{"PATIENTDAYS",#N/A,FALSE,"Sheet1";"TotalInsOuts",#N/A,FALSE,"Sheet1"}</definedName>
    <definedName name="name" localSheetId="0" hidden="1">{"PATIENTDAYS",#N/A,FALSE,"Sheet1";"TotalInsOuts",#N/A,FALSE,"Sheet1"}</definedName>
    <definedName name="name" hidden="1">{"PATIENTDAYS",#N/A,FALSE,"Sheet1";"TotalInsOuts",#N/A,FALSE,"Sheet1"}</definedName>
    <definedName name="names" localSheetId="4">#REF!</definedName>
    <definedName name="names" localSheetId="3">#REF!</definedName>
    <definedName name="names">#REF!</definedName>
    <definedName name="NEURODC" localSheetId="4">#REF!</definedName>
    <definedName name="NEURODC" localSheetId="3">#REF!</definedName>
    <definedName name="NEURODC">#REF!</definedName>
    <definedName name="NEWDATA" localSheetId="4">#REF!</definedName>
    <definedName name="NEWDATA" localSheetId="3">#REF!</definedName>
    <definedName name="NEWDATA">#REF!</definedName>
    <definedName name="NSSURG" localSheetId="4">[1]Baseline_DRGUseRates!#REF!</definedName>
    <definedName name="NSSURG" localSheetId="3">[1]Baseline_DRGUseRates!#REF!</definedName>
    <definedName name="NSSURG">#REF!</definedName>
    <definedName name="OPHSURG" localSheetId="4">[1]Baseline_DRGUseRates!#REF!</definedName>
    <definedName name="OPHSURG" localSheetId="3">[1]Baseline_DRGUseRates!#REF!</definedName>
    <definedName name="OPHSURG">#REF!</definedName>
    <definedName name="ORALSURG" localSheetId="4">[1]Baseline_DRGUseRates!#REF!</definedName>
    <definedName name="ORALSURG" localSheetId="3">[1]Baseline_DRGUseRates!#REF!</definedName>
    <definedName name="ORALSURG">#REF!</definedName>
    <definedName name="ORTHSURG" localSheetId="4">[1]Baseline_DRGUseRates!#REF!</definedName>
    <definedName name="ORTHSURG" localSheetId="3">[1]Baseline_DRGUseRates!#REF!</definedName>
    <definedName name="ORTHSURG">#REF!</definedName>
    <definedName name="OTHER" localSheetId="4">[1]Baseline_DRGUseRates!#REF!</definedName>
    <definedName name="OTHER" localSheetId="3">[1]Baseline_DRGUseRates!#REF!</definedName>
    <definedName name="OTHER">#REF!</definedName>
    <definedName name="Page_2" localSheetId="4">#REF!</definedName>
    <definedName name="Page_2" localSheetId="3">#REF!</definedName>
    <definedName name="Page_2">#REF!</definedName>
    <definedName name="Page_3" localSheetId="4">#REF!</definedName>
    <definedName name="Page_3" localSheetId="3">#REF!</definedName>
    <definedName name="Page_3">#REF!</definedName>
    <definedName name="pharmacy" localSheetId="9">#REF!</definedName>
    <definedName name="pharmacy" localSheetId="11">#REF!</definedName>
    <definedName name="pharmacy" localSheetId="10">#REF!</definedName>
    <definedName name="pharmacy">#REF!</definedName>
    <definedName name="PLASSURG" localSheetId="4">[1]Baseline_DRGUseRates!#REF!</definedName>
    <definedName name="PLASSURG" localSheetId="3">[1]Baseline_DRGUseRates!#REF!</definedName>
    <definedName name="PLASSURG">#REF!</definedName>
    <definedName name="positioncode" localSheetId="4">#REF!</definedName>
    <definedName name="positioncode" localSheetId="3">#REF!</definedName>
    <definedName name="positioncode">#REF!</definedName>
    <definedName name="PRINR22" localSheetId="4">#REF!</definedName>
    <definedName name="PRINR22" localSheetId="3">#REF!</definedName>
    <definedName name="PRINR22">#REF!</definedName>
    <definedName name="_xlnm.Print_Area" localSheetId="8">'CSPD-NEW 2nd'!$A$2:$H$69</definedName>
    <definedName name="_xlnm.Print_Area" localSheetId="4">'CV Center - Imaging'!$A$2:$H$54</definedName>
    <definedName name="_xlnm.Print_Area" localSheetId="9">'Dialysis-Bedside'!$A$2:$H$14</definedName>
    <definedName name="_xlnm.Print_Area" localSheetId="2">Emergency!$A$2:$H$98</definedName>
    <definedName name="_xlnm.Print_Area" localSheetId="6">'Endo GI-2'!$A$2:$H$60</definedName>
    <definedName name="_xlnm.Print_Area" localSheetId="3">'Imaging-Satellite ED'!$A$2:$H$72</definedName>
    <definedName name="_xlnm.Print_Area" localSheetId="11">'Lab-RENO'!$A$2:$H$139</definedName>
    <definedName name="_xlnm.Print_Area" localSheetId="10">'OP Draw'!$A$2:$H$18</definedName>
    <definedName name="_xlnm.Print_Area" localSheetId="7">PACUPrepRecov!$A$2:$H$75</definedName>
    <definedName name="_xlnm.Print_Area" localSheetId="5">'Procedural-11'!$A$2:$H$87</definedName>
    <definedName name="_xlnm.Print_Area" localSheetId="12">'Satellite Pharmacy'!$A$2:$H$33</definedName>
    <definedName name="_xlnm.Print_Area" localSheetId="0">'Typical Bed Unit-32 '!$A$2:$H$77</definedName>
    <definedName name="_xlnm.Print_Area" localSheetId="1">'Typical Bed Unit-32 ICU'!$A$2:$H$78</definedName>
    <definedName name="_xlnm.Print_Titles" localSheetId="8">'CSPD-NEW 2nd'!$2:$2</definedName>
    <definedName name="_xlnm.Print_Titles" localSheetId="9">'Dialysis-Bedside'!$2:$2</definedName>
    <definedName name="_xlnm.Print_Titles" localSheetId="2">Emergency!$2:$2</definedName>
    <definedName name="_xlnm.Print_Titles" localSheetId="6">'Endo GI-2'!$2:$2</definedName>
    <definedName name="_xlnm.Print_Titles" localSheetId="11">'Lab-RENO'!$2:$2</definedName>
    <definedName name="_xlnm.Print_Titles" localSheetId="10">'OP Draw'!$2:$2</definedName>
    <definedName name="_xlnm.Print_Titles" localSheetId="7">PACUPrepRecov!$2:$2</definedName>
    <definedName name="_xlnm.Print_Titles" localSheetId="5">'Procedural-11'!$2:$2</definedName>
    <definedName name="_xlnm.Print_Titles" localSheetId="12">'Satellite Pharmacy'!$2:$2</definedName>
    <definedName name="_xlnm.Print_Titles" localSheetId="0">'Typical Bed Unit-32 '!$2:$2</definedName>
    <definedName name="_xlnm.Print_Titles" localSheetId="1">'Typical Bed Unit-32 ICU'!$2:$2</definedName>
    <definedName name="PRINT11" localSheetId="4">#REF!</definedName>
    <definedName name="PRINT11" localSheetId="3">#REF!</definedName>
    <definedName name="PRINT11">#REF!</definedName>
    <definedName name="PRINT12" localSheetId="4">#REF!</definedName>
    <definedName name="PRINT12" localSheetId="3">#REF!</definedName>
    <definedName name="PRINT12">#REF!</definedName>
    <definedName name="PRINT13" localSheetId="4">#REF!</definedName>
    <definedName name="PRINT13" localSheetId="3">#REF!</definedName>
    <definedName name="PRINT13">#REF!</definedName>
    <definedName name="PRINT22" localSheetId="4">#REF!</definedName>
    <definedName name="PRINT22" localSheetId="3">#REF!</definedName>
    <definedName name="PRINT22">#REF!</definedName>
    <definedName name="PRINT23" localSheetId="4">#REF!</definedName>
    <definedName name="PRINT23" localSheetId="3">#REF!</definedName>
    <definedName name="PRINT23">#REF!</definedName>
    <definedName name="PRINT24" localSheetId="4">#REF!</definedName>
    <definedName name="PRINT24" localSheetId="3">#REF!</definedName>
    <definedName name="PRINT24">#REF!</definedName>
    <definedName name="PRINT25" localSheetId="4">#REF!</definedName>
    <definedName name="PRINT25" localSheetId="3">#REF!</definedName>
    <definedName name="PRINT25">#REF!</definedName>
    <definedName name="PRINT26" localSheetId="4">#REF!</definedName>
    <definedName name="PRINT26" localSheetId="3">#REF!</definedName>
    <definedName name="PRINT26">#REF!</definedName>
    <definedName name="PRINT27" localSheetId="4">#REF!</definedName>
    <definedName name="PRINT27" localSheetId="3">#REF!</definedName>
    <definedName name="PRINT27">#REF!</definedName>
    <definedName name="PRINT28" localSheetId="4">#REF!</definedName>
    <definedName name="PRINT28" localSheetId="3">#REF!</definedName>
    <definedName name="PRINT28">#REF!</definedName>
    <definedName name="PRINT29" localSheetId="4">#REF!</definedName>
    <definedName name="PRINT29" localSheetId="3">#REF!</definedName>
    <definedName name="PRINT29">#REF!</definedName>
    <definedName name="PRINT910" localSheetId="4">#REF!</definedName>
    <definedName name="PRINT910" localSheetId="3">#REF!</definedName>
    <definedName name="PRINT910">#REF!</definedName>
    <definedName name="PRINT911" localSheetId="4">#REF!</definedName>
    <definedName name="PRINT911" localSheetId="3">#REF!</definedName>
    <definedName name="PRINT911">#REF!</definedName>
    <definedName name="PRINT912" localSheetId="4">#REF!</definedName>
    <definedName name="PRINT912" localSheetId="3">#REF!</definedName>
    <definedName name="PRINT912">#REF!</definedName>
    <definedName name="PRINT913" localSheetId="4">#REF!</definedName>
    <definedName name="PRINT913" localSheetId="3">#REF!</definedName>
    <definedName name="PRINT913">#REF!</definedName>
    <definedName name="PRINT914" localSheetId="4">#REF!</definedName>
    <definedName name="PRINT914" localSheetId="3">#REF!</definedName>
    <definedName name="PRINT914">#REF!</definedName>
    <definedName name="PRINT915" localSheetId="4">#REF!</definedName>
    <definedName name="PRINT915" localSheetId="3">#REF!</definedName>
    <definedName name="PRINT915">#REF!</definedName>
    <definedName name="PRINT916" localSheetId="4">#REF!</definedName>
    <definedName name="PRINT916" localSheetId="3">#REF!</definedName>
    <definedName name="PRINT916">#REF!</definedName>
    <definedName name="PRINT92" localSheetId="4">#REF!</definedName>
    <definedName name="PRINT92" localSheetId="3">#REF!</definedName>
    <definedName name="PRINT92">#REF!</definedName>
    <definedName name="PRINT93" localSheetId="4">#REF!</definedName>
    <definedName name="PRINT93" localSheetId="3">#REF!</definedName>
    <definedName name="PRINT93">#REF!</definedName>
    <definedName name="PRINT94" localSheetId="4">#REF!</definedName>
    <definedName name="PRINT94" localSheetId="3">#REF!</definedName>
    <definedName name="PRINT94">#REF!</definedName>
    <definedName name="PRINT95" localSheetId="4">#REF!</definedName>
    <definedName name="PRINT95" localSheetId="3">#REF!</definedName>
    <definedName name="PRINT95">#REF!</definedName>
    <definedName name="PRINT96" localSheetId="4">#REF!</definedName>
    <definedName name="PRINT96" localSheetId="3">#REF!</definedName>
    <definedName name="PRINT96">#REF!</definedName>
    <definedName name="PRINT96A" localSheetId="4">#REF!</definedName>
    <definedName name="PRINT96A" localSheetId="3">#REF!</definedName>
    <definedName name="PRINT96A">#REF!</definedName>
    <definedName name="PRINT97" localSheetId="4">#REF!</definedName>
    <definedName name="PRINT97" localSheetId="3">#REF!</definedName>
    <definedName name="PRINT97">#REF!</definedName>
    <definedName name="PRINT97A" localSheetId="4">#REF!</definedName>
    <definedName name="PRINT97A" localSheetId="3">#REF!</definedName>
    <definedName name="PRINT97A">#REF!</definedName>
    <definedName name="PRINT97B" localSheetId="4">#REF!</definedName>
    <definedName name="PRINT97B" localSheetId="3">#REF!</definedName>
    <definedName name="PRINT97B">#REF!</definedName>
    <definedName name="PRINT98" localSheetId="4">#REF!</definedName>
    <definedName name="PRINT98" localSheetId="3">#REF!</definedName>
    <definedName name="PRINT98">#REF!</definedName>
    <definedName name="PRINT99" localSheetId="4">#REF!</definedName>
    <definedName name="PRINT99" localSheetId="3">#REF!</definedName>
    <definedName name="PRINT99">#REF!</definedName>
    <definedName name="Program" localSheetId="8">#REF!</definedName>
    <definedName name="Program" localSheetId="9">#REF!</definedName>
    <definedName name="Program" localSheetId="11">#REF!</definedName>
    <definedName name="Program" localSheetId="10">#REF!</definedName>
    <definedName name="Program" localSheetId="12">#REF!</definedName>
    <definedName name="Program">#REF!</definedName>
    <definedName name="PY_TOTAL" localSheetId="4">#REF!</definedName>
    <definedName name="PY_TOTAL" localSheetId="3">#REF!</definedName>
    <definedName name="PY_TOTAL">#REF!</definedName>
    <definedName name="QryBiweekly" localSheetId="4">#REF!</definedName>
    <definedName name="QryBiweekly" localSheetId="3">#REF!</definedName>
    <definedName name="QryBiweekly">#REF!</definedName>
    <definedName name="Radiology" localSheetId="4">[1]Baseline_DRGUseRates!#REF!</definedName>
    <definedName name="Radiology" localSheetId="3">[1]Baseline_DRGUseRates!#REF!</definedName>
    <definedName name="Radiology">#REF!</definedName>
    <definedName name="repdata" localSheetId="4">#REF!</definedName>
    <definedName name="repdata" localSheetId="3">#REF!</definedName>
    <definedName name="repdata">#REF!</definedName>
    <definedName name="SECONDYR" localSheetId="4">#REF!</definedName>
    <definedName name="SECONDYR" localSheetId="3">#REF!</definedName>
    <definedName name="SECONDYR">#REF!</definedName>
    <definedName name="Sep23Qry" localSheetId="4">#REF!</definedName>
    <definedName name="Sep23Qry" localSheetId="3">#REF!</definedName>
    <definedName name="Sep23Qry">#REF!</definedName>
    <definedName name="Sep9Qry" localSheetId="4">#REF!</definedName>
    <definedName name="Sep9Qry" localSheetId="3">#REF!</definedName>
    <definedName name="Sep9Qry">#REF!</definedName>
    <definedName name="split1" localSheetId="4">#REF!</definedName>
    <definedName name="split1" localSheetId="3">#REF!</definedName>
    <definedName name="split1">#REF!</definedName>
    <definedName name="sss" localSheetId="9">#REF!</definedName>
    <definedName name="sss" localSheetId="11">#REF!</definedName>
    <definedName name="sss" localSheetId="10">#REF!</definedName>
    <definedName name="sss" localSheetId="12">#REF!</definedName>
    <definedName name="sss">#REF!</definedName>
    <definedName name="Staff" localSheetId="9">#REF!</definedName>
    <definedName name="Staff">#REF!</definedName>
    <definedName name="START" localSheetId="4">#REF!</definedName>
    <definedName name="START" localSheetId="3">#REF!</definedName>
    <definedName name="START">#REF!</definedName>
    <definedName name="test" localSheetId="4">#REF!</definedName>
    <definedName name="test" localSheetId="3">#REF!</definedName>
    <definedName name="test">#REF!</definedName>
    <definedName name="THIRDPAGE" localSheetId="4">#REF!</definedName>
    <definedName name="THIRDPAGE" localSheetId="3">#REF!</definedName>
    <definedName name="THIRDPAGE">#REF!</definedName>
    <definedName name="TITLES2" localSheetId="4">#REF!</definedName>
    <definedName name="TITLES2" localSheetId="3">#REF!</definedName>
    <definedName name="TITLES2">#REF!</definedName>
    <definedName name="TT" localSheetId="4">#REF!</definedName>
    <definedName name="TT" localSheetId="3">#REF!</definedName>
    <definedName name="TT">#REF!</definedName>
    <definedName name="UROLSURG" localSheetId="4">[1]Baseline_DRGUseRates!#REF!</definedName>
    <definedName name="UROLSURG" localSheetId="3">[1]Baseline_DRGUseRates!#REF!</definedName>
    <definedName name="UROLSURG">#REF!</definedName>
    <definedName name="VASCSURG" localSheetId="4">[1]Baseline_DRGUseRates!#REF!</definedName>
    <definedName name="VASCSURG" localSheetId="3">[1]Baseline_DRGUseRates!#REF!</definedName>
    <definedName name="VASCSURG">#REF!</definedName>
    <definedName name="Volume" localSheetId="4">#REF!</definedName>
    <definedName name="Volume" localSheetId="3">#REF!</definedName>
    <definedName name="Volume">#REF!</definedName>
    <definedName name="wrn.ADT._.INDEX." localSheetId="8" hidden="1">{"ADT INDEX",#N/A,FALSE,"Sheet1"}</definedName>
    <definedName name="wrn.ADT._.INDEX." localSheetId="4" hidden="1">{"ADT INDEX",#N/A,FALSE,"Sheet1"}</definedName>
    <definedName name="wrn.ADT._.INDEX." localSheetId="9" hidden="1">{"ADT INDEX",#N/A,FALSE,"Sheet1"}</definedName>
    <definedName name="wrn.ADT._.INDEX." localSheetId="2" hidden="1">{"ADT INDEX",#N/A,FALSE,"Sheet1"}</definedName>
    <definedName name="wrn.ADT._.INDEX." localSheetId="6" hidden="1">{"ADT INDEX",#N/A,FALSE,"Sheet1"}</definedName>
    <definedName name="wrn.ADT._.INDEX." localSheetId="3" hidden="1">{"ADT INDEX",#N/A,FALSE,"Sheet1"}</definedName>
    <definedName name="wrn.ADT._.INDEX." localSheetId="11" hidden="1">{"ADT INDEX",#N/A,FALSE,"Sheet1"}</definedName>
    <definedName name="wrn.ADT._.INDEX." localSheetId="10" hidden="1">{"ADT INDEX",#N/A,FALSE,"Sheet1"}</definedName>
    <definedName name="wrn.ADT._.INDEX." localSheetId="7" hidden="1">{"ADT INDEX",#N/A,FALSE,"Sheet1"}</definedName>
    <definedName name="wrn.ADT._.INDEX." localSheetId="5" hidden="1">{"ADT INDEX",#N/A,FALSE,"Sheet1"}</definedName>
    <definedName name="wrn.ADT._.INDEX." localSheetId="12" hidden="1">{"ADT INDEX",#N/A,FALSE,"Sheet1"}</definedName>
    <definedName name="wrn.ADT._.INDEX." localSheetId="0" hidden="1">{"ADT INDEX",#N/A,FALSE,"Sheet1"}</definedName>
    <definedName name="wrn.ADT._.INDEX." hidden="1">{"ADT INDEX",#N/A,FALSE,"Sheet1"}</definedName>
    <definedName name="wrn.UOS._.and._.TOTAL._.INS._.OUTS." localSheetId="8" hidden="1">{"PATIENTDAYS",#N/A,FALSE,"Sheet1";"TotalInsOuts",#N/A,FALSE,"Sheet1"}</definedName>
    <definedName name="wrn.UOS._.and._.TOTAL._.INS._.OUTS." localSheetId="4" hidden="1">{"PATIENTDAYS",#N/A,FALSE,"Sheet1";"TotalInsOuts",#N/A,FALSE,"Sheet1"}</definedName>
    <definedName name="wrn.UOS._.and._.TOTAL._.INS._.OUTS." localSheetId="9" hidden="1">{"PATIENTDAYS",#N/A,FALSE,"Sheet1";"TotalInsOuts",#N/A,FALSE,"Sheet1"}</definedName>
    <definedName name="wrn.UOS._.and._.TOTAL._.INS._.OUTS." localSheetId="2" hidden="1">{"PATIENTDAYS",#N/A,FALSE,"Sheet1";"TotalInsOuts",#N/A,FALSE,"Sheet1"}</definedName>
    <definedName name="wrn.UOS._.and._.TOTAL._.INS._.OUTS." localSheetId="6" hidden="1">{"PATIENTDAYS",#N/A,FALSE,"Sheet1";"TotalInsOuts",#N/A,FALSE,"Sheet1"}</definedName>
    <definedName name="wrn.UOS._.and._.TOTAL._.INS._.OUTS." localSheetId="3" hidden="1">{"PATIENTDAYS",#N/A,FALSE,"Sheet1";"TotalInsOuts",#N/A,FALSE,"Sheet1"}</definedName>
    <definedName name="wrn.UOS._.and._.TOTAL._.INS._.OUTS." localSheetId="11" hidden="1">{"PATIENTDAYS",#N/A,FALSE,"Sheet1";"TotalInsOuts",#N/A,FALSE,"Sheet1"}</definedName>
    <definedName name="wrn.UOS._.and._.TOTAL._.INS._.OUTS." localSheetId="10" hidden="1">{"PATIENTDAYS",#N/A,FALSE,"Sheet1";"TotalInsOuts",#N/A,FALSE,"Sheet1"}</definedName>
    <definedName name="wrn.UOS._.and._.TOTAL._.INS._.OUTS." localSheetId="7" hidden="1">{"PATIENTDAYS",#N/A,FALSE,"Sheet1";"TotalInsOuts",#N/A,FALSE,"Sheet1"}</definedName>
    <definedName name="wrn.UOS._.and._.TOTAL._.INS._.OUTS." localSheetId="5" hidden="1">{"PATIENTDAYS",#N/A,FALSE,"Sheet1";"TotalInsOuts",#N/A,FALSE,"Sheet1"}</definedName>
    <definedName name="wrn.UOS._.and._.TOTAL._.INS._.OUTS." localSheetId="12" hidden="1">{"PATIENTDAYS",#N/A,FALSE,"Sheet1";"TotalInsOuts",#N/A,FALSE,"Sheet1"}</definedName>
    <definedName name="wrn.UOS._.and._.TOTAL._.INS._.OUTS." localSheetId="0" hidden="1">{"PATIENTDAYS",#N/A,FALSE,"Sheet1";"TotalInsOuts",#N/A,FALSE,"Sheet1"}</definedName>
    <definedName name="wrn.UOS._.and._.TOTAL._.INS._.OUTS." hidden="1">{"PATIENTDAYS",#N/A,FALSE,"Sheet1";"TotalInsOuts",#N/A,FALSE,"Sheet1"}</definedName>
    <definedName name="xx" localSheetId="8" hidden="1">{"ADT INDEX",#N/A,FALSE,"Sheet1"}</definedName>
    <definedName name="xx" localSheetId="4" hidden="1">{"ADT INDEX",#N/A,FALSE,"Sheet1"}</definedName>
    <definedName name="xx" localSheetId="9" hidden="1">{"ADT INDEX",#N/A,FALSE,"Sheet1"}</definedName>
    <definedName name="xx" localSheetId="2" hidden="1">{"ADT INDEX",#N/A,FALSE,"Sheet1"}</definedName>
    <definedName name="xx" localSheetId="6" hidden="1">{"ADT INDEX",#N/A,FALSE,"Sheet1"}</definedName>
    <definedName name="xx" localSheetId="3" hidden="1">{"ADT INDEX",#N/A,FALSE,"Sheet1"}</definedName>
    <definedName name="xx" localSheetId="11" hidden="1">{"ADT INDEX",#N/A,FALSE,"Sheet1"}</definedName>
    <definedName name="xx" localSheetId="10" hidden="1">{"ADT INDEX",#N/A,FALSE,"Sheet1"}</definedName>
    <definedName name="xx" localSheetId="7" hidden="1">{"ADT INDEX",#N/A,FALSE,"Sheet1"}</definedName>
    <definedName name="xx" localSheetId="5" hidden="1">{"ADT INDEX",#N/A,FALSE,"Sheet1"}</definedName>
    <definedName name="xx" localSheetId="12" hidden="1">{"ADT INDEX",#N/A,FALSE,"Sheet1"}</definedName>
    <definedName name="xx" localSheetId="0" hidden="1">{"ADT INDEX",#N/A,FALSE,"Sheet1"}</definedName>
    <definedName name="xx" hidden="1">{"ADT INDEX",#N/A,FALSE,"Sheet1"}</definedName>
    <definedName name="xxxxx" localSheetId="9">#REF!</definedName>
    <definedName name="xxxxx" localSheetId="11">#REF!</definedName>
    <definedName name="xxxxx" localSheetId="10">#REF!</definedName>
    <definedName name="xxxxx" localSheetId="12">#REF!</definedName>
    <definedName name="xxxxx">#REF!</definedName>
    <definedName name="xxxxxxxx" localSheetId="9">#REF!</definedName>
    <definedName name="xxxxxxxx" localSheetId="11">#REF!</definedName>
    <definedName name="xxxxxxxx" localSheetId="10">#REF!</definedName>
    <definedName name="xxxxxxxx" localSheetId="12">#REF!</definedName>
    <definedName name="xxxxxxxx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0" i="14" l="1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5" i="14"/>
  <c r="G31" i="14" s="1"/>
  <c r="G14" i="14"/>
  <c r="G13" i="14"/>
  <c r="G12" i="14"/>
  <c r="G10" i="14"/>
  <c r="G11" i="13"/>
  <c r="G12" i="13"/>
  <c r="G13" i="13"/>
  <c r="G14" i="13"/>
  <c r="G15" i="13"/>
  <c r="G16" i="13"/>
  <c r="G17" i="13"/>
  <c r="G18" i="13"/>
  <c r="G19" i="13"/>
  <c r="G20" i="13"/>
  <c r="G22" i="13"/>
  <c r="G24" i="13"/>
  <c r="G25" i="13"/>
  <c r="G26" i="13"/>
  <c r="G27" i="13"/>
  <c r="G28" i="13"/>
  <c r="G29" i="13"/>
  <c r="G31" i="13"/>
  <c r="G33" i="13"/>
  <c r="G34" i="13"/>
  <c r="G35" i="13"/>
  <c r="G36" i="13"/>
  <c r="G37" i="13"/>
  <c r="G38" i="13"/>
  <c r="G39" i="13"/>
  <c r="G40" i="13"/>
  <c r="G42" i="13" s="1"/>
  <c r="G44" i="13"/>
  <c r="G45" i="13"/>
  <c r="G46" i="13"/>
  <c r="G47" i="13"/>
  <c r="G48" i="13"/>
  <c r="G49" i="13"/>
  <c r="G50" i="13"/>
  <c r="G52" i="13"/>
  <c r="G54" i="13"/>
  <c r="G55" i="13"/>
  <c r="G56" i="13"/>
  <c r="G57" i="13"/>
  <c r="G59" i="13" s="1"/>
  <c r="G61" i="13"/>
  <c r="G76" i="13" s="1"/>
  <c r="G78" i="13" s="1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80" i="13"/>
  <c r="G81" i="13"/>
  <c r="G82" i="13"/>
  <c r="G83" i="13"/>
  <c r="G84" i="13"/>
  <c r="G85" i="13"/>
  <c r="G86" i="13"/>
  <c r="G88" i="13" s="1"/>
  <c r="G90" i="13"/>
  <c r="G91" i="13"/>
  <c r="G92" i="13"/>
  <c r="G93" i="13"/>
  <c r="G95" i="13"/>
  <c r="G97" i="13"/>
  <c r="G98" i="13"/>
  <c r="G99" i="13"/>
  <c r="G100" i="13"/>
  <c r="G101" i="13"/>
  <c r="G102" i="13"/>
  <c r="G103" i="13"/>
  <c r="G104" i="13"/>
  <c r="G105" i="13"/>
  <c r="G107" i="13"/>
  <c r="G109" i="13"/>
  <c r="G116" i="13" s="1"/>
  <c r="G118" i="13" s="1"/>
  <c r="G110" i="13"/>
  <c r="G111" i="13"/>
  <c r="G112" i="13"/>
  <c r="G113" i="13"/>
  <c r="G114" i="13"/>
  <c r="G115" i="13"/>
  <c r="G120" i="13"/>
  <c r="G121" i="13"/>
  <c r="G122" i="13"/>
  <c r="G123" i="13"/>
  <c r="G124" i="13"/>
  <c r="G126" i="13"/>
  <c r="G128" i="13"/>
  <c r="G129" i="13"/>
  <c r="G130" i="13"/>
  <c r="G131" i="13"/>
  <c r="G133" i="13"/>
  <c r="G135" i="13"/>
  <c r="G136" i="13"/>
  <c r="G137" i="13"/>
  <c r="G139" i="13"/>
  <c r="G15" i="12"/>
  <c r="G14" i="12"/>
  <c r="G13" i="12"/>
  <c r="G12" i="12"/>
  <c r="G16" i="12" s="1"/>
  <c r="G11" i="12"/>
  <c r="G10" i="12"/>
  <c r="G11" i="11"/>
  <c r="G10" i="11"/>
  <c r="G12" i="11" s="1"/>
  <c r="G66" i="10"/>
  <c r="G65" i="10"/>
  <c r="G67" i="10" s="1"/>
  <c r="G69" i="10" s="1"/>
  <c r="G60" i="10"/>
  <c r="G61" i="10" s="1"/>
  <c r="G63" i="10" s="1"/>
  <c r="G59" i="10"/>
  <c r="G54" i="10"/>
  <c r="G53" i="10"/>
  <c r="G52" i="10"/>
  <c r="G51" i="10"/>
  <c r="G50" i="10"/>
  <c r="G49" i="10"/>
  <c r="G55" i="10" s="1"/>
  <c r="G57" i="10" s="1"/>
  <c r="G44" i="10"/>
  <c r="G43" i="10"/>
  <c r="G42" i="10"/>
  <c r="G45" i="10" s="1"/>
  <c r="G47" i="10" s="1"/>
  <c r="G37" i="10"/>
  <c r="G36" i="10"/>
  <c r="G35" i="10"/>
  <c r="G34" i="10"/>
  <c r="G33" i="10"/>
  <c r="G38" i="10" s="1"/>
  <c r="G40" i="10" s="1"/>
  <c r="G32" i="10"/>
  <c r="G31" i="10"/>
  <c r="G30" i="10"/>
  <c r="G29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25" i="10" s="1"/>
  <c r="G72" i="9"/>
  <c r="G71" i="9"/>
  <c r="G73" i="9" s="1"/>
  <c r="G75" i="9" s="1"/>
  <c r="G66" i="9"/>
  <c r="G65" i="9"/>
  <c r="G64" i="9"/>
  <c r="G67" i="9" s="1"/>
  <c r="G69" i="9" s="1"/>
  <c r="G60" i="9"/>
  <c r="G62" i="9" s="1"/>
  <c r="G59" i="9"/>
  <c r="G58" i="9"/>
  <c r="G57" i="9"/>
  <c r="G56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52" i="9" s="1"/>
  <c r="G54" i="9" s="1"/>
  <c r="G28" i="9"/>
  <c r="G29" i="9" s="1"/>
  <c r="G31" i="9" s="1"/>
  <c r="G27" i="9"/>
  <c r="G26" i="9"/>
  <c r="G25" i="9"/>
  <c r="G24" i="9"/>
  <c r="G23" i="9"/>
  <c r="G22" i="9"/>
  <c r="G21" i="9"/>
  <c r="G20" i="9"/>
  <c r="G15" i="9"/>
  <c r="G14" i="9"/>
  <c r="G13" i="9"/>
  <c r="G12" i="9"/>
  <c r="G11" i="9"/>
  <c r="G16" i="9" s="1"/>
  <c r="G57" i="8"/>
  <c r="G58" i="8" s="1"/>
  <c r="G60" i="8" s="1"/>
  <c r="G52" i="8"/>
  <c r="G53" i="8" s="1"/>
  <c r="G55" i="8" s="1"/>
  <c r="G51" i="8"/>
  <c r="G50" i="8"/>
  <c r="G49" i="8"/>
  <c r="G48" i="8"/>
  <c r="G47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43" i="8" s="1"/>
  <c r="G45" i="8" s="1"/>
  <c r="G27" i="8"/>
  <c r="G22" i="8"/>
  <c r="G21" i="8"/>
  <c r="G20" i="8"/>
  <c r="G23" i="8" s="1"/>
  <c r="G25" i="8" s="1"/>
  <c r="G15" i="8"/>
  <c r="G14" i="8"/>
  <c r="G13" i="8"/>
  <c r="G12" i="8"/>
  <c r="G11" i="8"/>
  <c r="G16" i="8" s="1"/>
  <c r="G84" i="7"/>
  <c r="G83" i="7"/>
  <c r="G82" i="7"/>
  <c r="G85" i="7" s="1"/>
  <c r="G87" i="7" s="1"/>
  <c r="G77" i="7"/>
  <c r="G76" i="7"/>
  <c r="G75" i="7"/>
  <c r="G74" i="7"/>
  <c r="G78" i="7" s="1"/>
  <c r="G80" i="7" s="1"/>
  <c r="G69" i="7"/>
  <c r="G68" i="7"/>
  <c r="G67" i="7"/>
  <c r="G66" i="7"/>
  <c r="G70" i="7" s="1"/>
  <c r="G72" i="7" s="1"/>
  <c r="G65" i="7"/>
  <c r="G64" i="7"/>
  <c r="G63" i="7"/>
  <c r="G62" i="7"/>
  <c r="G61" i="7"/>
  <c r="G60" i="7"/>
  <c r="G59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55" i="7" s="1"/>
  <c r="G57" i="7" s="1"/>
  <c r="G31" i="7"/>
  <c r="G30" i="7"/>
  <c r="G29" i="7"/>
  <c r="G28" i="7"/>
  <c r="G27" i="7"/>
  <c r="G26" i="7"/>
  <c r="G25" i="7"/>
  <c r="G24" i="7"/>
  <c r="G23" i="7"/>
  <c r="G32" i="7" s="1"/>
  <c r="G34" i="7" s="1"/>
  <c r="G22" i="7"/>
  <c r="G21" i="7"/>
  <c r="G20" i="7"/>
  <c r="G15" i="7"/>
  <c r="G14" i="7"/>
  <c r="G13" i="7"/>
  <c r="G12" i="7"/>
  <c r="G11" i="7"/>
  <c r="G16" i="7" s="1"/>
  <c r="G51" i="6"/>
  <c r="G52" i="6" s="1"/>
  <c r="G54" i="6" s="1"/>
  <c r="G46" i="6"/>
  <c r="G45" i="6"/>
  <c r="G44" i="6"/>
  <c r="G47" i="6" s="1"/>
  <c r="G49" i="6" s="1"/>
  <c r="G39" i="6"/>
  <c r="G38" i="6"/>
  <c r="G37" i="6"/>
  <c r="G36" i="6"/>
  <c r="G35" i="6"/>
  <c r="G34" i="6"/>
  <c r="G40" i="6" s="1"/>
  <c r="G42" i="6" s="1"/>
  <c r="G33" i="6"/>
  <c r="G32" i="6"/>
  <c r="G31" i="6"/>
  <c r="G30" i="6"/>
  <c r="G29" i="6"/>
  <c r="G28" i="6"/>
  <c r="G27" i="6"/>
  <c r="G22" i="6"/>
  <c r="G21" i="6"/>
  <c r="G20" i="6"/>
  <c r="G23" i="6" s="1"/>
  <c r="G25" i="6" s="1"/>
  <c r="G19" i="6"/>
  <c r="G14" i="6"/>
  <c r="G13" i="6"/>
  <c r="G12" i="6"/>
  <c r="G11" i="6"/>
  <c r="G15" i="6" s="1"/>
  <c r="G69" i="5"/>
  <c r="G68" i="5"/>
  <c r="G70" i="5" s="1"/>
  <c r="G72" i="5" s="1"/>
  <c r="G67" i="5"/>
  <c r="G63" i="5"/>
  <c r="G65" i="5" s="1"/>
  <c r="G62" i="5"/>
  <c r="G61" i="5"/>
  <c r="G56" i="5"/>
  <c r="G55" i="5"/>
  <c r="G57" i="5" s="1"/>
  <c r="G59" i="5" s="1"/>
  <c r="G54" i="5"/>
  <c r="G49" i="5"/>
  <c r="G48" i="5"/>
  <c r="G47" i="5"/>
  <c r="G46" i="5"/>
  <c r="G45" i="5"/>
  <c r="G50" i="5" s="1"/>
  <c r="G52" i="5" s="1"/>
  <c r="G44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40" i="5" s="1"/>
  <c r="G42" i="5" s="1"/>
  <c r="G22" i="5"/>
  <c r="G21" i="5"/>
  <c r="G20" i="5"/>
  <c r="G19" i="5"/>
  <c r="G14" i="5"/>
  <c r="G13" i="5"/>
  <c r="G12" i="5"/>
  <c r="G15" i="5" s="1"/>
  <c r="G11" i="5"/>
  <c r="G95" i="4"/>
  <c r="G94" i="4"/>
  <c r="G96" i="4" s="1"/>
  <c r="G98" i="4" s="1"/>
  <c r="G89" i="4"/>
  <c r="G88" i="4"/>
  <c r="G90" i="4" s="1"/>
  <c r="G92" i="4" s="1"/>
  <c r="G83" i="4"/>
  <c r="G82" i="4"/>
  <c r="G81" i="4"/>
  <c r="G84" i="4" s="1"/>
  <c r="G86" i="4" s="1"/>
  <c r="G80" i="4"/>
  <c r="G79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75" i="4" s="1"/>
  <c r="G77" i="4" s="1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47" i="4" s="1"/>
  <c r="G49" i="4" s="1"/>
  <c r="G24" i="4"/>
  <c r="G23" i="4"/>
  <c r="G22" i="4"/>
  <c r="G21" i="4"/>
  <c r="G20" i="4"/>
  <c r="G19" i="4"/>
  <c r="G18" i="4"/>
  <c r="G17" i="4"/>
  <c r="G16" i="4"/>
  <c r="G15" i="4"/>
  <c r="G13" i="4"/>
  <c r="G12" i="4"/>
  <c r="G11" i="4"/>
  <c r="G10" i="4"/>
  <c r="G74" i="3"/>
  <c r="G73" i="3"/>
  <c r="G75" i="3" s="1"/>
  <c r="G77" i="3" s="1"/>
  <c r="G68" i="3"/>
  <c r="G67" i="3"/>
  <c r="G66" i="3"/>
  <c r="G65" i="3"/>
  <c r="G69" i="3" s="1"/>
  <c r="G71" i="3" s="1"/>
  <c r="G60" i="3"/>
  <c r="G59" i="3"/>
  <c r="G58" i="3"/>
  <c r="G57" i="3"/>
  <c r="G61" i="3" s="1"/>
  <c r="G63" i="3" s="1"/>
  <c r="G52" i="3"/>
  <c r="G51" i="3"/>
  <c r="G50" i="3"/>
  <c r="G49" i="3"/>
  <c r="G48" i="3"/>
  <c r="G47" i="3"/>
  <c r="G46" i="3"/>
  <c r="G45" i="3"/>
  <c r="G44" i="3"/>
  <c r="G43" i="3"/>
  <c r="G53" i="3" s="1"/>
  <c r="G55" i="3" s="1"/>
  <c r="G42" i="3"/>
  <c r="G41" i="3"/>
  <c r="G40" i="3"/>
  <c r="G39" i="3"/>
  <c r="G38" i="3"/>
  <c r="G37" i="3"/>
  <c r="G36" i="3"/>
  <c r="G35" i="3"/>
  <c r="G34" i="3"/>
  <c r="G33" i="3"/>
  <c r="G32" i="3"/>
  <c r="G27" i="3"/>
  <c r="G26" i="3"/>
  <c r="G25" i="3"/>
  <c r="G24" i="3"/>
  <c r="G23" i="3"/>
  <c r="G22" i="3"/>
  <c r="G21" i="3"/>
  <c r="G20" i="3"/>
  <c r="G28" i="3" s="1"/>
  <c r="G30" i="3" s="1"/>
  <c r="G14" i="3"/>
  <c r="G13" i="3"/>
  <c r="G12" i="3"/>
  <c r="G11" i="3"/>
  <c r="G16" i="3" s="1"/>
  <c r="G75" i="2"/>
  <c r="G74" i="2"/>
  <c r="G76" i="2" s="1"/>
  <c r="G78" i="2" s="1"/>
  <c r="G69" i="2"/>
  <c r="G68" i="2"/>
  <c r="G67" i="2"/>
  <c r="G66" i="2"/>
  <c r="G70" i="2" s="1"/>
  <c r="G72" i="2" s="1"/>
  <c r="G61" i="2"/>
  <c r="G62" i="2" s="1"/>
  <c r="G64" i="2" s="1"/>
  <c r="G60" i="2"/>
  <c r="G59" i="2"/>
  <c r="G58" i="2"/>
  <c r="G57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53" i="2" s="1"/>
  <c r="G55" i="2" s="1"/>
  <c r="G27" i="2"/>
  <c r="G26" i="2"/>
  <c r="G25" i="2"/>
  <c r="G24" i="2"/>
  <c r="G23" i="2"/>
  <c r="G22" i="2"/>
  <c r="G21" i="2"/>
  <c r="G20" i="2"/>
  <c r="G28" i="2" s="1"/>
  <c r="G30" i="2" s="1"/>
  <c r="G14" i="2"/>
  <c r="G13" i="2"/>
  <c r="G12" i="2"/>
  <c r="G11" i="2"/>
  <c r="G16" i="2" s="1"/>
  <c r="D4" i="14" l="1"/>
  <c r="D6" i="14" s="1"/>
  <c r="G33" i="14"/>
  <c r="D4" i="13"/>
  <c r="D6" i="13" s="1"/>
  <c r="D4" i="12"/>
  <c r="D6" i="12" s="1"/>
  <c r="G18" i="12"/>
  <c r="G14" i="11"/>
  <c r="D4" i="11"/>
  <c r="D6" i="11" s="1"/>
  <c r="G27" i="10"/>
  <c r="D6" i="10" s="1"/>
  <c r="D4" i="10"/>
  <c r="G18" i="9"/>
  <c r="D4" i="9"/>
  <c r="D6" i="9" s="1"/>
  <c r="G18" i="8"/>
  <c r="D4" i="8"/>
  <c r="D6" i="8" s="1"/>
  <c r="G18" i="7"/>
  <c r="D6" i="7" s="1"/>
  <c r="D4" i="7"/>
  <c r="G17" i="6"/>
  <c r="D4" i="6"/>
  <c r="D6" i="6" s="1"/>
  <c r="D4" i="5"/>
  <c r="D6" i="5" s="1"/>
  <c r="G17" i="5"/>
  <c r="D4" i="4"/>
  <c r="D6" i="4" s="1"/>
  <c r="G26" i="4"/>
  <c r="D4" i="3"/>
  <c r="D6" i="3" s="1"/>
  <c r="G18" i="3"/>
  <c r="G18" i="2"/>
  <c r="D4" i="2"/>
  <c r="D6" i="2" s="1"/>
</calcChain>
</file>

<file path=xl/sharedStrings.xml><?xml version="1.0" encoding="utf-8"?>
<sst xmlns="http://schemas.openxmlformats.org/spreadsheetml/2006/main" count="887" uniqueCount="349">
  <si>
    <t>TYPICAL MEDICAL/SURGICAL UNIT</t>
  </si>
  <si>
    <t xml:space="preserve">Departmental Net Sq. Feet:  </t>
  </si>
  <si>
    <t xml:space="preserve">Departmental Grossing Factor:  </t>
  </si>
  <si>
    <t xml:space="preserve">Departmental Gross Sq. Feet:  </t>
  </si>
  <si>
    <t>Quantity</t>
  </si>
  <si>
    <t>NSF/Room</t>
  </si>
  <si>
    <t>Total NSF</t>
  </si>
  <si>
    <t>Comment</t>
  </si>
  <si>
    <t xml:space="preserve">Public Area </t>
  </si>
  <si>
    <t>Waiting, Public</t>
  </si>
  <si>
    <t>-- seating, public</t>
  </si>
  <si>
    <t>Nourish Area</t>
  </si>
  <si>
    <t>Toilet, Public</t>
  </si>
  <si>
    <t xml:space="preserve">Reception Area / Check-in </t>
  </si>
  <si>
    <t>Multipurpose Room</t>
  </si>
  <si>
    <t xml:space="preserve">NSF Subtotal:  </t>
  </si>
  <si>
    <t xml:space="preserve">Grossing Factor:  </t>
  </si>
  <si>
    <t xml:space="preserve"> DGSF Subtotal:  </t>
  </si>
  <si>
    <t>Patient Care</t>
  </si>
  <si>
    <t>Patient Room, Universal</t>
  </si>
  <si>
    <t>Patient Room, Airborne Infection Isolation</t>
  </si>
  <si>
    <t>Isolation Ante Room</t>
  </si>
  <si>
    <t>Patient Room, I.O.S &amp; A.I.I.</t>
  </si>
  <si>
    <t>Charting Station-Decentralized</t>
  </si>
  <si>
    <t>Alcove-Decentralized</t>
  </si>
  <si>
    <t>Patient Toilet/Shower</t>
  </si>
  <si>
    <t xml:space="preserve">Patient Toilet/Shower, I.O.S </t>
  </si>
  <si>
    <t xml:space="preserve">Patient Care Support </t>
  </si>
  <si>
    <t>Business Center</t>
  </si>
  <si>
    <t>Communication Center</t>
  </si>
  <si>
    <t>Touchdown Workstation</t>
  </si>
  <si>
    <t xml:space="preserve">Medication Room </t>
  </si>
  <si>
    <t>Clean Supply</t>
  </si>
  <si>
    <t>Equipment Storage</t>
  </si>
  <si>
    <t>Specialty Storage</t>
  </si>
  <si>
    <t>Nourishment</t>
  </si>
  <si>
    <t>Housekeeping Closet</t>
  </si>
  <si>
    <t>Soiled Holding</t>
  </si>
  <si>
    <t>Oxygen Storage</t>
  </si>
  <si>
    <t>Multidisciplinary Team Room</t>
  </si>
  <si>
    <t>Alcove, Wheelchair Storage</t>
  </si>
  <si>
    <t>Alcove, Stretcher</t>
  </si>
  <si>
    <t>Alcove, Food Service Cart</t>
  </si>
  <si>
    <t>Alcove, Equipment</t>
  </si>
  <si>
    <t>Alcove, Crash Cart</t>
  </si>
  <si>
    <t>Alcove, PT Stair</t>
  </si>
  <si>
    <t>POC Lab Alcove</t>
  </si>
  <si>
    <t>Unit Specific</t>
  </si>
  <si>
    <t>Staff Support</t>
  </si>
  <si>
    <t xml:space="preserve">Break Room </t>
  </si>
  <si>
    <t>Lockers</t>
  </si>
  <si>
    <t>Toilet, Staff</t>
  </si>
  <si>
    <t>Staff Lactation/Respite</t>
  </si>
  <si>
    <t xml:space="preserve"> NSF Subtotal:  </t>
  </si>
  <si>
    <t>Administrative Support</t>
  </si>
  <si>
    <t>Office-Private</t>
  </si>
  <si>
    <t>Office-Shared (3)</t>
  </si>
  <si>
    <t>Office-Shared (4)</t>
  </si>
  <si>
    <t>Workroom, Physicians</t>
  </si>
  <si>
    <t>Building Support Per Floor</t>
  </si>
  <si>
    <t>Closet, IT (TDR)</t>
  </si>
  <si>
    <t>Closet, Electrical</t>
  </si>
  <si>
    <t>ICU / PROGRESSIVE CARE</t>
  </si>
  <si>
    <t>Macro Program Placeholder: 28,800 DGSF</t>
  </si>
  <si>
    <t>Telemetry monitoring station</t>
  </si>
  <si>
    <t>Alcove, Radiology Storage</t>
  </si>
  <si>
    <t>On-Call Room</t>
  </si>
  <si>
    <t>EMERGENCY DEPARTMENT</t>
  </si>
  <si>
    <t>Macro Program Placeholder: 12,766 DGSF</t>
  </si>
  <si>
    <t>Vestibule</t>
  </si>
  <si>
    <t>Valet</t>
  </si>
  <si>
    <t>Weapons Detection Area</t>
  </si>
  <si>
    <t>Security Workstation</t>
  </si>
  <si>
    <t>Vending</t>
  </si>
  <si>
    <t>ED Advisor</t>
  </si>
  <si>
    <t xml:space="preserve">Greeter </t>
  </si>
  <si>
    <t>Check-in / Registration</t>
  </si>
  <si>
    <t>Registration at Back - RN Station</t>
  </si>
  <si>
    <t>Alcove, Wheelchair</t>
  </si>
  <si>
    <t xml:space="preserve">Patient Care </t>
  </si>
  <si>
    <t>Lab Draw</t>
  </si>
  <si>
    <t>Triage</t>
  </si>
  <si>
    <t>Sub-waiting</t>
  </si>
  <si>
    <t>Flex Track-Room</t>
  </si>
  <si>
    <t>Flex Track-Chair</t>
  </si>
  <si>
    <t>Exam Room</t>
  </si>
  <si>
    <t>Exam Room, Airborne Infection Isolation</t>
  </si>
  <si>
    <t>Exam Room, Protective Environment</t>
  </si>
  <si>
    <t>Ante room, PE</t>
  </si>
  <si>
    <t>Exam Room, BH Flex</t>
  </si>
  <si>
    <t>Exam Room, SANE/GYN/OB</t>
  </si>
  <si>
    <t>Exam Room, Individual of Size/A.I.I.</t>
  </si>
  <si>
    <t>Trauma/Resuscitation</t>
  </si>
  <si>
    <t>Patient Toilet</t>
  </si>
  <si>
    <t>Patient Toilet/Shower, I.O.S.</t>
  </si>
  <si>
    <t>Consultation</t>
  </si>
  <si>
    <t>Quiet Room</t>
  </si>
  <si>
    <t>Decontamination</t>
  </si>
  <si>
    <t>Nurse Station</t>
  </si>
  <si>
    <t>Pnuematic Tube Station</t>
  </si>
  <si>
    <t>Physicians Workroom</t>
  </si>
  <si>
    <t>Pharmacist Workstation</t>
  </si>
  <si>
    <t xml:space="preserve">Vent Cleaning </t>
  </si>
  <si>
    <t>Alcove, Warmer</t>
  </si>
  <si>
    <t xml:space="preserve">Alcove, Wheelchair </t>
  </si>
  <si>
    <t>Alcove, Imaging Storage</t>
  </si>
  <si>
    <t>Alcove, Equipment/Cart</t>
  </si>
  <si>
    <t>POC Lab</t>
  </si>
  <si>
    <t>Emergency Management &amp; Decon Storage</t>
  </si>
  <si>
    <t>Ambulance Garage</t>
  </si>
  <si>
    <t>EMS Workroom</t>
  </si>
  <si>
    <t xml:space="preserve">9'x14' </t>
  </si>
  <si>
    <t>9'x12'</t>
  </si>
  <si>
    <t>IMAGING - SATELLITE</t>
  </si>
  <si>
    <t>Comments</t>
  </si>
  <si>
    <t>Public Area</t>
  </si>
  <si>
    <t>Changing Room</t>
  </si>
  <si>
    <t>Toilet, Patient</t>
  </si>
  <si>
    <t>Prep/Recovery Room</t>
  </si>
  <si>
    <t>General Radiology/Fluoro</t>
  </si>
  <si>
    <t>General Radiology Control</t>
  </si>
  <si>
    <t>Tech Workroom</t>
  </si>
  <si>
    <t>CT</t>
  </si>
  <si>
    <t>CT Control</t>
  </si>
  <si>
    <t>CT Equipment</t>
  </si>
  <si>
    <t>MRI</t>
  </si>
  <si>
    <t xml:space="preserve">MRI Control </t>
  </si>
  <si>
    <t>MRI Change</t>
  </si>
  <si>
    <t>MRI Patient Toilet</t>
  </si>
  <si>
    <t>MRI Equipment</t>
  </si>
  <si>
    <t>MRI Zone II</t>
  </si>
  <si>
    <t>MRI Zone III</t>
  </si>
  <si>
    <t xml:space="preserve">Ultrasound </t>
  </si>
  <si>
    <t xml:space="preserve">Alcove, Stretcher </t>
  </si>
  <si>
    <t xml:space="preserve">Alcove, Crash Cart </t>
  </si>
  <si>
    <t>Patient Care Support</t>
  </si>
  <si>
    <t>Clean Supply / Equipment</t>
  </si>
  <si>
    <t>Soiled Workroom</t>
  </si>
  <si>
    <t>Reading Room</t>
  </si>
  <si>
    <t>Closet, Housekeeping</t>
  </si>
  <si>
    <t>Staff Toilet</t>
  </si>
  <si>
    <t>Office-Shared (2)</t>
  </si>
  <si>
    <t>UPS Room</t>
  </si>
  <si>
    <t>CARDIOVASCULAR CENTER</t>
  </si>
  <si>
    <t>Macro Program Placeholder: NICV 1350 DGSF</t>
  </si>
  <si>
    <t>PFT Room</t>
  </si>
  <si>
    <t>Patient Toilet Room</t>
  </si>
  <si>
    <t>Echo/EKG/Vascular</t>
  </si>
  <si>
    <t>Stress Test</t>
  </si>
  <si>
    <t>CV Tech Workroom</t>
  </si>
  <si>
    <t>CV Read Room</t>
  </si>
  <si>
    <t>Medication Alcove</t>
  </si>
  <si>
    <t xml:space="preserve">Clean Supply </t>
  </si>
  <si>
    <t>PROCEDURAL PLATFORM</t>
  </si>
  <si>
    <t>Macro Program Placeholder: 32,036 DGSF</t>
  </si>
  <si>
    <t xml:space="preserve">Check-in </t>
  </si>
  <si>
    <t>Nourish</t>
  </si>
  <si>
    <t>Operating Room</t>
  </si>
  <si>
    <t>Operating Room, Large</t>
  </si>
  <si>
    <t>Control Room, Hybrid</t>
  </si>
  <si>
    <t>Equip/UPS Room, Hybrid</t>
  </si>
  <si>
    <t>Cath/EP Lab/IR/Hybrid</t>
  </si>
  <si>
    <t>Control Room, Cath/EP Lab/IR/Hybrid</t>
  </si>
  <si>
    <t>Equip/UPS Room, Cath/EP Lab/IR/Hybrid</t>
  </si>
  <si>
    <t>Interventional Radiology</t>
  </si>
  <si>
    <t>Control Room, IR</t>
  </si>
  <si>
    <t>Equip/UPS Room, IR</t>
  </si>
  <si>
    <t>Alcove, Scrub</t>
  </si>
  <si>
    <t>Control Desk</t>
  </si>
  <si>
    <t>Anesthesia Workroom</t>
  </si>
  <si>
    <t>Anesthesia Supplies</t>
  </si>
  <si>
    <t>Sterile Core, OR</t>
  </si>
  <si>
    <t>OR Equipment Storage</t>
  </si>
  <si>
    <t>Hybrid Equipment Storage</t>
  </si>
  <si>
    <t xml:space="preserve">Sterile Supply Storage </t>
  </si>
  <si>
    <t>Case Cart Staging</t>
  </si>
  <si>
    <t>Frozen Section</t>
  </si>
  <si>
    <t>Physician Dictation</t>
  </si>
  <si>
    <t xml:space="preserve">Read Room </t>
  </si>
  <si>
    <t>Alcove, Case Cart</t>
  </si>
  <si>
    <t>Alcove, PPE</t>
  </si>
  <si>
    <t>Med Staff Lounge</t>
  </si>
  <si>
    <t>Scrub Issue/Return</t>
  </si>
  <si>
    <t>Lockers, Male - Nursing</t>
  </si>
  <si>
    <t>Lockers, Female - Nursing</t>
  </si>
  <si>
    <t>Lockers, Male - Physicians</t>
  </si>
  <si>
    <t>Lockers, Female - Physicians</t>
  </si>
  <si>
    <t>Shower, Staff</t>
  </si>
  <si>
    <t>Staff Lactation</t>
  </si>
  <si>
    <t>Office-Shared(3)</t>
  </si>
  <si>
    <t>Office-Shared(4)</t>
  </si>
  <si>
    <t>OR Integration, Server</t>
  </si>
  <si>
    <t>ENDOSCOPY/GI SUITE</t>
  </si>
  <si>
    <t>Macro Program Placeholder: 3,200 DGSF</t>
  </si>
  <si>
    <t>Assumes can be "standalone"</t>
  </si>
  <si>
    <t>Endoscopy Room</t>
  </si>
  <si>
    <t>Prep/Recovery</t>
  </si>
  <si>
    <t>Nurse Work Area</t>
  </si>
  <si>
    <t>Workroom, Physician (GI)</t>
  </si>
  <si>
    <t xml:space="preserve">Alcove, Equipment </t>
  </si>
  <si>
    <t>Scope Processing</t>
  </si>
  <si>
    <t>Scope Storage</t>
  </si>
  <si>
    <t>Supply Storage</t>
  </si>
  <si>
    <t>Alcove, C-arm</t>
  </si>
  <si>
    <t>Lockers, Male</t>
  </si>
  <si>
    <t>Lockers, Female</t>
  </si>
  <si>
    <t>Toilet/Shower, Staff</t>
  </si>
  <si>
    <t>PACU/PREP/RECOVERY</t>
  </si>
  <si>
    <t>Macro Program Placeholder: 14,499 DGSF</t>
  </si>
  <si>
    <t>Intake Alcove</t>
  </si>
  <si>
    <t>PACU</t>
  </si>
  <si>
    <t xml:space="preserve">PACU, Airborne Infection Isolation </t>
  </si>
  <si>
    <t xml:space="preserve">Prep/Recovery, Individual of Size/Airborne Infection Isolation </t>
  </si>
  <si>
    <t>Short Stay</t>
  </si>
  <si>
    <t>Patient Toilet, I.O.S</t>
  </si>
  <si>
    <t>Isolation Ante Alcove</t>
  </si>
  <si>
    <t>Pneumatic Tube Station</t>
  </si>
  <si>
    <t xml:space="preserve">Medication Alcove </t>
  </si>
  <si>
    <t>Soiled Hold</t>
  </si>
  <si>
    <t>Patient Belongings</t>
  </si>
  <si>
    <t>Alcove, Equipment/Carts</t>
  </si>
  <si>
    <t xml:space="preserve"> </t>
  </si>
  <si>
    <t>CENTRAL STERILE PROCESSING - REDUCED 2ND</t>
  </si>
  <si>
    <t>Vendor Loaner Room</t>
  </si>
  <si>
    <t>High Level Disinfection Room</t>
  </si>
  <si>
    <t>Soiled Trash / Hold</t>
  </si>
  <si>
    <t>Ante/PPE</t>
  </si>
  <si>
    <t>Cart Washer</t>
  </si>
  <si>
    <t>Decontamination Sink, 3 Basin</t>
  </si>
  <si>
    <t>Ultrasonic Washer</t>
  </si>
  <si>
    <t>Instrument Washer</t>
  </si>
  <si>
    <t>Rack Return Conveyor</t>
  </si>
  <si>
    <t>Pass through Cabinet</t>
  </si>
  <si>
    <t xml:space="preserve">Handwashing Station </t>
  </si>
  <si>
    <t>Detergent Storage</t>
  </si>
  <si>
    <t>Neptune Docking Station</t>
  </si>
  <si>
    <t>DI Water Room</t>
  </si>
  <si>
    <t>Clean Assembly</t>
  </si>
  <si>
    <t>Clean Receiving</t>
  </si>
  <si>
    <t xml:space="preserve">Supply Storage </t>
  </si>
  <si>
    <t>Clean Cart Staging</t>
  </si>
  <si>
    <t>Prep &amp; Packaging Workstation</t>
  </si>
  <si>
    <t>Clean Assembly Workroom</t>
  </si>
  <si>
    <t>Steam Sterilizer</t>
  </si>
  <si>
    <t>Low-temp Sterilizer</t>
  </si>
  <si>
    <t>Cooling Area</t>
  </si>
  <si>
    <t>Sterile Stores / Case Cart Staging</t>
  </si>
  <si>
    <t xml:space="preserve">OR Supply </t>
  </si>
  <si>
    <t>Work Area</t>
  </si>
  <si>
    <t>Toilet/shower, staff</t>
  </si>
  <si>
    <t>Office-Shared(2)</t>
  </si>
  <si>
    <t>BEDSIDE DIALYSIS</t>
  </si>
  <si>
    <t>Patient Support</t>
  </si>
  <si>
    <t xml:space="preserve">Equipment Cleaning/Maintenance </t>
  </si>
  <si>
    <t>LAB-OUTPATIENT DRAW</t>
  </si>
  <si>
    <t>Phlebotomy-OP Draw Lab</t>
  </si>
  <si>
    <t>Waiting, Patient</t>
  </si>
  <si>
    <t>Blood Draw, Chairs</t>
  </si>
  <si>
    <t>Blood Draw, Room</t>
  </si>
  <si>
    <t>Check-in Station</t>
  </si>
  <si>
    <t>Work/Processing Area</t>
  </si>
  <si>
    <t>Specimen Toilet</t>
  </si>
  <si>
    <t>LABORATORY</t>
  </si>
  <si>
    <t>Macro Program Placeholder: 2,480 DGSF</t>
  </si>
  <si>
    <t>CORE LAB</t>
  </si>
  <si>
    <t>Specimen Processing</t>
  </si>
  <si>
    <t xml:space="preserve">Workstation/Lab Benches </t>
  </si>
  <si>
    <t>Copy/Printer</t>
  </si>
  <si>
    <t>Specimen drop off</t>
  </si>
  <si>
    <t xml:space="preserve">Sendouts </t>
  </si>
  <si>
    <t xml:space="preserve">Centrifuge </t>
  </si>
  <si>
    <t>Phlebotomy Workstations</t>
  </si>
  <si>
    <t>Phlebotomy Cart Parking</t>
  </si>
  <si>
    <t>Handwash sink</t>
  </si>
  <si>
    <t>Chemistry</t>
  </si>
  <si>
    <t>Workstation</t>
  </si>
  <si>
    <t xml:space="preserve">Benches </t>
  </si>
  <si>
    <t>Chemistry Analyzer</t>
  </si>
  <si>
    <t>Future Automation</t>
  </si>
  <si>
    <t>Blood Gas Instrumentation</t>
  </si>
  <si>
    <t>Hematology</t>
  </si>
  <si>
    <t>Hematology Analyzer</t>
  </si>
  <si>
    <t>Microscope</t>
  </si>
  <si>
    <t>Sink</t>
  </si>
  <si>
    <t>Manual Slide prep area</t>
  </si>
  <si>
    <t>Stainer</t>
  </si>
  <si>
    <t>Urinalysis</t>
  </si>
  <si>
    <t>Urine Analyzer</t>
  </si>
  <si>
    <t>Urine centrifuge</t>
  </si>
  <si>
    <t>Coagulation</t>
  </si>
  <si>
    <t>Benches</t>
  </si>
  <si>
    <t>Centrifuge</t>
  </si>
  <si>
    <t>Blood Bank</t>
  </si>
  <si>
    <t>Bench</t>
  </si>
  <si>
    <t xml:space="preserve">Blood bank analyzer </t>
  </si>
  <si>
    <t>Cell washer</t>
  </si>
  <si>
    <t>Plasma thawer</t>
  </si>
  <si>
    <t>Platelet incubator and rotator</t>
  </si>
  <si>
    <t>Heat block/Dry-bath</t>
  </si>
  <si>
    <t>Double Door Refrigerator</t>
  </si>
  <si>
    <t>Freezer</t>
  </si>
  <si>
    <t>Printer</t>
  </si>
  <si>
    <t>Pass-through window</t>
  </si>
  <si>
    <t>Irradiator</t>
  </si>
  <si>
    <t xml:space="preserve">Counter space </t>
  </si>
  <si>
    <t>Microbiology</t>
  </si>
  <si>
    <t>Workstation - Micro</t>
  </si>
  <si>
    <t>Hood - Micro</t>
  </si>
  <si>
    <t>Analyzer - Micro</t>
  </si>
  <si>
    <t>Molecular Instrument</t>
  </si>
  <si>
    <t>Microscope - Micro</t>
  </si>
  <si>
    <t>Miscellaneous</t>
  </si>
  <si>
    <t>Workstation - POC</t>
  </si>
  <si>
    <t>Storage - POC</t>
  </si>
  <si>
    <t>Bench - Miscellaneous Testing</t>
  </si>
  <si>
    <t>Supply/Storage</t>
  </si>
  <si>
    <t>3 door Refrigerator</t>
  </si>
  <si>
    <t xml:space="preserve">Single door Freezer </t>
  </si>
  <si>
    <t>Small fire safety cabinet</t>
  </si>
  <si>
    <t xml:space="preserve">Supply carts </t>
  </si>
  <si>
    <t xml:space="preserve">Eyewash station </t>
  </si>
  <si>
    <t>Safety shower with drain</t>
  </si>
  <si>
    <t>Bulk Storage</t>
  </si>
  <si>
    <t>RO Water Room</t>
  </si>
  <si>
    <t>Pathology</t>
  </si>
  <si>
    <t xml:space="preserve">Grossing station </t>
  </si>
  <si>
    <t>Workstation, Pathologist</t>
  </si>
  <si>
    <t>Cryostat</t>
  </si>
  <si>
    <t xml:space="preserve">Storage </t>
  </si>
  <si>
    <t>Team Room</t>
  </si>
  <si>
    <t>SATELLITE PHARMACY</t>
  </si>
  <si>
    <t>Receiving</t>
  </si>
  <si>
    <t>Receiving/Breakdown</t>
  </si>
  <si>
    <t>Compounding Area</t>
  </si>
  <si>
    <t>Ante Room</t>
  </si>
  <si>
    <t>Sterile Compounding Hood</t>
  </si>
  <si>
    <t xml:space="preserve">Hazardous Sterile Compounding </t>
  </si>
  <si>
    <t>Hazardous Storage</t>
  </si>
  <si>
    <t>Pharmacy Workroom</t>
  </si>
  <si>
    <t>Dispensing Window</t>
  </si>
  <si>
    <t>Pharmacy Storage</t>
  </si>
  <si>
    <t>Unit Dose Island</t>
  </si>
  <si>
    <t>Printer Station</t>
  </si>
  <si>
    <t>Carousel Storage</t>
  </si>
  <si>
    <t>Meds to Beds Space</t>
  </si>
  <si>
    <t>Refrigerator, Double door</t>
  </si>
  <si>
    <t>Freezer, Single door</t>
  </si>
  <si>
    <t>Narcotic Storage/Work</t>
  </si>
  <si>
    <t>Countertop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</si>
</sst>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2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8"/>
      <name val="Arial Narrow"/>
      <family val="2"/>
    </font>
    <font>
      <sz val="10"/>
      <color indexed="8"/>
      <name val="Arial"/>
    </font>
    <font>
      <sz val="8"/>
      <color indexed="8"/>
      <name val="Arial"/>
      <family val="2"/>
    </font>
    <font>
      <b/>
      <sz val="12"/>
      <color indexed="9"/>
      <name val="Arial Narrow"/>
      <family val="2"/>
    </font>
    <font>
      <sz val="8"/>
      <color indexed="9"/>
      <name val="Arial Narrow"/>
      <family val="2"/>
    </font>
    <font>
      <sz val="8"/>
      <color rgb="FF002060"/>
      <name val="Arial Narrow"/>
      <family val="2"/>
    </font>
    <font>
      <sz val="7"/>
      <name val="Arial Narrow"/>
      <family val="2"/>
    </font>
    <font>
      <sz val="10"/>
      <name val="Garamond"/>
      <family val="1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b/>
      <sz val="9"/>
      <color theme="1"/>
      <name val="Arial Narrow"/>
      <family val="2"/>
    </font>
    <font>
      <sz val="9"/>
      <color rgb="FFFF0000"/>
      <name val="Arial Narrow"/>
      <family val="2"/>
    </font>
    <font>
      <b/>
      <sz val="9"/>
      <color rgb="FFFF0000"/>
      <name val="Arial Narrow"/>
      <family val="2"/>
    </font>
    <font>
      <b/>
      <sz val="9"/>
      <name val="Arial Narrow"/>
      <family val="2"/>
    </font>
    <font>
      <sz val="9"/>
      <color indexed="9"/>
      <name val="Arial Narrow"/>
      <family val="2"/>
    </font>
    <font>
      <b/>
      <sz val="9"/>
      <color theme="0"/>
      <name val="Arial Narrow"/>
      <family val="2"/>
    </font>
    <font>
      <b/>
      <sz val="8"/>
      <color rgb="FF002060"/>
      <name val="Arial Narrow"/>
      <family val="2"/>
    </font>
    <font>
      <b/>
      <sz val="9"/>
      <color theme="4" tint="-0.24994659260841701"/>
      <name val="Arial Narrow"/>
      <family val="2"/>
    </font>
    <font>
      <b/>
      <sz val="8"/>
      <color indexed="8"/>
      <name val="Arial"/>
      <family val="2"/>
    </font>
    <font>
      <sz val="9"/>
      <name val="Arial Narrow"/>
      <family val="2"/>
    </font>
    <font>
      <sz val="9"/>
      <color theme="1"/>
      <name val="Arial Narrow"/>
      <family val="2"/>
    </font>
    <font>
      <b/>
      <sz val="8"/>
      <color rgb="FF366092"/>
      <name val="Arial Narrow"/>
      <family val="2"/>
    </font>
    <font>
      <b/>
      <sz val="8"/>
      <color theme="4" tint="-0.24994659260841701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sz val="8"/>
      <color indexed="9"/>
      <name val="Arial"/>
      <family val="2"/>
    </font>
    <font>
      <sz val="7"/>
      <name val="Arial"/>
      <family val="2"/>
    </font>
    <font>
      <b/>
      <sz val="8"/>
      <color indexed="8"/>
      <name val="Arial Narrow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8"/>
      <color rgb="FF366092"/>
      <name val="Arial"/>
      <family val="2"/>
    </font>
    <font>
      <sz val="8"/>
      <color rgb="FF366092"/>
      <name val="Arial"/>
      <family val="2"/>
    </font>
    <font>
      <b/>
      <sz val="6"/>
      <color rgb="FFC00000"/>
      <name val="Arial Narrow"/>
      <family val="2"/>
    </font>
    <font>
      <sz val="8"/>
      <color indexed="8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8"/>
      <color rgb="FFFF0000"/>
      <name val="Arial Narrow"/>
      <family val="2"/>
    </font>
    <font>
      <sz val="9"/>
      <color rgb="FF00206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0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3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medium">
        <color indexed="64"/>
      </right>
      <top style="thin">
        <color indexed="9"/>
      </top>
      <bottom style="thin">
        <color auto="1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medium">
        <color indexed="64"/>
      </right>
      <top style="thin">
        <color indexed="9"/>
      </top>
      <bottom style="thin">
        <color auto="1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medium">
        <color indexed="64"/>
      </right>
      <top style="thin">
        <color indexed="9"/>
      </top>
      <bottom style="thin">
        <color auto="1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16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theme="1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6"/>
      </bottom>
      <diagonal/>
    </border>
    <border>
      <left/>
      <right style="medium">
        <color indexed="64"/>
      </right>
      <top style="thin">
        <color indexed="9"/>
      </top>
      <bottom style="thin">
        <color indexed="16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36">
    <xf numFmtId="0" fontId="0" fillId="0" borderId="0" xfId="0"/>
    <xf numFmtId="0" fontId="4" fillId="2" borderId="0" xfId="2" applyFont="1" applyFill="1" applyAlignment="1">
      <alignment vertical="top"/>
    </xf>
    <xf numFmtId="0" fontId="5" fillId="3" borderId="4" xfId="2" applyFont="1" applyFill="1" applyBorder="1" applyAlignment="1">
      <alignment vertical="center"/>
    </xf>
    <xf numFmtId="0" fontId="5" fillId="3" borderId="5" xfId="2" applyFont="1" applyFill="1" applyBorder="1" applyAlignment="1">
      <alignment vertical="center"/>
    </xf>
    <xf numFmtId="0" fontId="6" fillId="3" borderId="5" xfId="2" applyFont="1" applyFill="1" applyBorder="1" applyAlignment="1">
      <alignment horizontal="left" vertical="center"/>
    </xf>
    <xf numFmtId="164" fontId="6" fillId="3" borderId="5" xfId="2" applyNumberFormat="1" applyFont="1" applyFill="1" applyBorder="1" applyAlignment="1">
      <alignment horizontal="left" vertical="center"/>
    </xf>
    <xf numFmtId="164" fontId="7" fillId="3" borderId="6" xfId="2" applyNumberFormat="1" applyFont="1" applyFill="1" applyBorder="1" applyAlignment="1">
      <alignment horizontal="left" vertical="center"/>
    </xf>
    <xf numFmtId="0" fontId="9" fillId="2" borderId="0" xfId="2" applyFont="1" applyFill="1"/>
    <xf numFmtId="0" fontId="10" fillId="2" borderId="7" xfId="2" applyFont="1" applyFill="1" applyBorder="1" applyAlignment="1">
      <alignment vertical="top"/>
    </xf>
    <xf numFmtId="0" fontId="10" fillId="2" borderId="8" xfId="2" applyFont="1" applyFill="1" applyBorder="1" applyAlignment="1">
      <alignment vertical="top"/>
    </xf>
    <xf numFmtId="0" fontId="11" fillId="2" borderId="9" xfId="2" applyFont="1" applyFill="1" applyBorder="1" applyAlignment="1">
      <alignment horizontal="right" vertical="top"/>
    </xf>
    <xf numFmtId="3" fontId="12" fillId="2" borderId="9" xfId="2" applyNumberFormat="1" applyFont="1" applyFill="1" applyBorder="1" applyAlignment="1">
      <alignment horizontal="right" vertical="top"/>
    </xf>
    <xf numFmtId="164" fontId="10" fillId="2" borderId="9" xfId="2" applyNumberFormat="1" applyFont="1" applyFill="1" applyBorder="1" applyAlignment="1">
      <alignment horizontal="left" vertical="top"/>
    </xf>
    <xf numFmtId="164" fontId="10" fillId="2" borderId="10" xfId="2" applyNumberFormat="1" applyFont="1" applyFill="1" applyBorder="1" applyAlignment="1">
      <alignment horizontal="left" vertical="top"/>
    </xf>
    <xf numFmtId="164" fontId="10" fillId="2" borderId="11" xfId="2" applyNumberFormat="1" applyFont="1" applyFill="1" applyBorder="1" applyAlignment="1">
      <alignment horizontal="left" vertical="top"/>
    </xf>
    <xf numFmtId="0" fontId="11" fillId="2" borderId="12" xfId="2" applyFont="1" applyFill="1" applyBorder="1" applyAlignment="1">
      <alignment horizontal="right" vertical="top"/>
    </xf>
    <xf numFmtId="164" fontId="16" fillId="5" borderId="12" xfId="2" applyNumberFormat="1" applyFont="1" applyFill="1" applyBorder="1" applyAlignment="1">
      <alignment horizontal="left" vertical="top"/>
    </xf>
    <xf numFmtId="0" fontId="20" fillId="2" borderId="0" xfId="2" applyFont="1" applyFill="1" applyAlignment="1">
      <alignment vertical="top"/>
    </xf>
    <xf numFmtId="2" fontId="19" fillId="0" borderId="13" xfId="2" applyNumberFormat="1" applyFont="1" applyBorder="1" applyAlignment="1">
      <alignment horizontal="left" vertical="top"/>
    </xf>
    <xf numFmtId="2" fontId="19" fillId="0" borderId="0" xfId="2" applyNumberFormat="1" applyFont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10" fillId="0" borderId="0" xfId="2" applyNumberFormat="1" applyFont="1"/>
    <xf numFmtId="3" fontId="21" fillId="0" borderId="14" xfId="2" applyNumberFormat="1" applyFont="1" applyBorder="1" applyAlignment="1">
      <alignment horizontal="left" vertical="top" wrapText="1"/>
    </xf>
    <xf numFmtId="2" fontId="19" fillId="0" borderId="7" xfId="2" applyNumberFormat="1" applyFont="1" applyBorder="1" applyAlignment="1">
      <alignment vertical="top"/>
    </xf>
    <xf numFmtId="2" fontId="19" fillId="0" borderId="15" xfId="2" applyNumberFormat="1" applyFont="1" applyBorder="1" applyAlignment="1">
      <alignment vertical="top"/>
    </xf>
    <xf numFmtId="3" fontId="11" fillId="0" borderId="15" xfId="2" applyNumberFormat="1" applyFont="1" applyBorder="1" applyAlignment="1">
      <alignment vertical="top"/>
    </xf>
    <xf numFmtId="3" fontId="11" fillId="0" borderId="9" xfId="2" applyNumberFormat="1" applyFont="1" applyBorder="1" applyAlignment="1">
      <alignment vertical="top"/>
    </xf>
    <xf numFmtId="164" fontId="23" fillId="0" borderId="9" xfId="2" applyNumberFormat="1" applyFont="1" applyBorder="1" applyAlignment="1">
      <alignment horizontal="right" vertical="top"/>
    </xf>
    <xf numFmtId="3" fontId="11" fillId="0" borderId="9" xfId="2" applyNumberFormat="1" applyFont="1" applyBorder="1" applyAlignment="1">
      <alignment horizontal="center" vertical="top" wrapText="1"/>
    </xf>
    <xf numFmtId="3" fontId="10" fillId="0" borderId="16" xfId="2" applyNumberFormat="1" applyFont="1" applyBorder="1" applyAlignment="1">
      <alignment horizontal="left" vertical="top" wrapText="1"/>
    </xf>
    <xf numFmtId="0" fontId="11" fillId="0" borderId="17" xfId="2" applyFont="1" applyBorder="1" applyAlignment="1">
      <alignment horizontal="left" vertical="top"/>
    </xf>
    <xf numFmtId="0" fontId="4" fillId="0" borderId="0" xfId="2" applyFont="1" applyAlignment="1">
      <alignment vertical="top"/>
    </xf>
    <xf numFmtId="3" fontId="11" fillId="0" borderId="8" xfId="2" applyNumberFormat="1" applyFont="1" applyBorder="1" applyAlignment="1">
      <alignment vertical="top"/>
    </xf>
    <xf numFmtId="2" fontId="19" fillId="0" borderId="0" xfId="2" applyNumberFormat="1" applyFont="1" applyAlignment="1">
      <alignment vertical="top"/>
    </xf>
    <xf numFmtId="0" fontId="11" fillId="0" borderId="17" xfId="2" applyFont="1" applyBorder="1" applyAlignment="1">
      <alignment vertical="top"/>
    </xf>
    <xf numFmtId="3" fontId="11" fillId="0" borderId="16" xfId="2" applyNumberFormat="1" applyFont="1" applyBorder="1" applyAlignment="1">
      <alignment horizontal="center" vertical="top" wrapText="1"/>
    </xf>
    <xf numFmtId="0" fontId="4" fillId="2" borderId="13" xfId="2" applyFont="1" applyFill="1" applyBorder="1" applyAlignment="1">
      <alignment vertical="top"/>
    </xf>
    <xf numFmtId="164" fontId="4" fillId="2" borderId="0" xfId="2" applyNumberFormat="1" applyFont="1" applyFill="1" applyAlignment="1">
      <alignment vertical="top"/>
    </xf>
    <xf numFmtId="0" fontId="20" fillId="2" borderId="0" xfId="1" applyFont="1" applyFill="1" applyAlignment="1">
      <alignment vertical="top"/>
    </xf>
    <xf numFmtId="0" fontId="11" fillId="2" borderId="0" xfId="2" applyFont="1" applyFill="1" applyAlignment="1">
      <alignment vertical="top"/>
    </xf>
    <xf numFmtId="49" fontId="21" fillId="0" borderId="0" xfId="2" applyNumberFormat="1" applyFont="1" applyAlignment="1">
      <alignment horizontal="left" vertical="top"/>
    </xf>
    <xf numFmtId="49" fontId="21" fillId="0" borderId="0" xfId="2" applyNumberFormat="1" applyFont="1"/>
    <xf numFmtId="0" fontId="10" fillId="0" borderId="0" xfId="2" applyFont="1" applyAlignment="1">
      <alignment vertical="top"/>
    </xf>
    <xf numFmtId="0" fontId="4" fillId="2" borderId="0" xfId="1" applyFont="1" applyFill="1" applyAlignment="1">
      <alignment vertical="top"/>
    </xf>
    <xf numFmtId="0" fontId="5" fillId="3" borderId="4" xfId="1" applyFont="1" applyFill="1" applyBorder="1" applyAlignment="1">
      <alignment vertical="center"/>
    </xf>
    <xf numFmtId="0" fontId="26" fillId="3" borderId="5" xfId="1" applyFont="1" applyFill="1" applyBorder="1" applyAlignment="1">
      <alignment vertical="center"/>
    </xf>
    <xf numFmtId="0" fontId="27" fillId="3" borderId="5" xfId="1" applyFont="1" applyFill="1" applyBorder="1" applyAlignment="1">
      <alignment horizontal="left" vertical="center"/>
    </xf>
    <xf numFmtId="164" fontId="27" fillId="3" borderId="5" xfId="1" applyNumberFormat="1" applyFont="1" applyFill="1" applyBorder="1" applyAlignment="1">
      <alignment horizontal="left" vertical="center"/>
    </xf>
    <xf numFmtId="0" fontId="27" fillId="3" borderId="18" xfId="1" applyFont="1" applyFill="1" applyBorder="1" applyAlignment="1">
      <alignment vertical="center" wrapText="1"/>
    </xf>
    <xf numFmtId="0" fontId="9" fillId="2" borderId="0" xfId="1" applyFont="1" applyFill="1"/>
    <xf numFmtId="0" fontId="4" fillId="0" borderId="7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29" fillId="2" borderId="9" xfId="1" applyFont="1" applyFill="1" applyBorder="1" applyAlignment="1">
      <alignment horizontal="right" vertical="top"/>
    </xf>
    <xf numFmtId="3" fontId="12" fillId="2" borderId="0" xfId="1" applyNumberFormat="1" applyFont="1" applyFill="1" applyAlignment="1">
      <alignment horizontal="right" vertical="top"/>
    </xf>
    <xf numFmtId="164" fontId="4" fillId="2" borderId="0" xfId="1" applyNumberFormat="1" applyFont="1" applyFill="1" applyAlignment="1">
      <alignment horizontal="left" vertical="top"/>
    </xf>
    <xf numFmtId="4" fontId="12" fillId="2" borderId="0" xfId="1" applyNumberFormat="1" applyFont="1" applyFill="1" applyAlignment="1">
      <alignment horizontal="right" vertical="top"/>
    </xf>
    <xf numFmtId="164" fontId="30" fillId="2" borderId="0" xfId="1" applyNumberFormat="1" applyFont="1" applyFill="1" applyAlignment="1">
      <alignment horizontal="left" vertical="top"/>
    </xf>
    <xf numFmtId="164" fontId="31" fillId="2" borderId="19" xfId="1" applyNumberFormat="1" applyFont="1" applyFill="1" applyBorder="1" applyAlignment="1">
      <alignment horizontal="center" vertical="top"/>
    </xf>
    <xf numFmtId="0" fontId="4" fillId="2" borderId="19" xfId="1" applyFont="1" applyFill="1" applyBorder="1" applyAlignment="1">
      <alignment vertical="top"/>
    </xf>
    <xf numFmtId="14" fontId="32" fillId="2" borderId="19" xfId="1" applyNumberFormat="1" applyFont="1" applyFill="1" applyBorder="1" applyAlignment="1">
      <alignment horizontal="center" vertical="top"/>
    </xf>
    <xf numFmtId="164" fontId="27" fillId="5" borderId="19" xfId="1" applyNumberFormat="1" applyFont="1" applyFill="1" applyBorder="1" applyAlignment="1">
      <alignment horizontal="left" vertical="top"/>
    </xf>
    <xf numFmtId="2" fontId="34" fillId="0" borderId="7" xfId="1" applyNumberFormat="1" applyFont="1" applyBorder="1" applyAlignment="1">
      <alignment vertical="top"/>
    </xf>
    <xf numFmtId="2" fontId="34" fillId="0" borderId="15" xfId="1" applyNumberFormat="1" applyFont="1" applyBorder="1" applyAlignment="1">
      <alignment vertical="top"/>
    </xf>
    <xf numFmtId="0" fontId="34" fillId="0" borderId="17" xfId="1" applyFont="1" applyBorder="1" applyAlignment="1">
      <alignment vertical="top"/>
    </xf>
    <xf numFmtId="3" fontId="34" fillId="0" borderId="9" xfId="1" applyNumberFormat="1" applyFont="1" applyBorder="1" applyAlignment="1">
      <alignment horizontal="center" vertical="top" wrapText="1"/>
    </xf>
    <xf numFmtId="3" fontId="34" fillId="0" borderId="9" xfId="1" applyNumberFormat="1" applyFont="1" applyBorder="1" applyAlignment="1">
      <alignment vertical="top"/>
    </xf>
    <xf numFmtId="164" fontId="23" fillId="0" borderId="9" xfId="1" applyNumberFormat="1" applyFont="1" applyBorder="1" applyAlignment="1">
      <alignment horizontal="right" vertical="top"/>
    </xf>
    <xf numFmtId="3" fontId="15" fillId="0" borderId="9" xfId="1" applyNumberFormat="1" applyFont="1" applyBorder="1" applyAlignment="1">
      <alignment horizontal="center" vertical="center" wrapText="1"/>
    </xf>
    <xf numFmtId="0" fontId="34" fillId="0" borderId="10" xfId="1" applyFont="1" applyBorder="1" applyAlignment="1">
      <alignment vertical="top" wrapText="1"/>
    </xf>
    <xf numFmtId="0" fontId="34" fillId="2" borderId="0" xfId="1" applyFont="1" applyFill="1" applyAlignment="1">
      <alignment vertical="top"/>
    </xf>
    <xf numFmtId="0" fontId="35" fillId="0" borderId="0" xfId="1" applyFont="1" applyAlignment="1">
      <alignment horizontal="center"/>
    </xf>
    <xf numFmtId="164" fontId="23" fillId="0" borderId="9" xfId="1" applyNumberFormat="1" applyFont="1" applyBorder="1" applyAlignment="1">
      <alignment horizontal="right" vertical="center"/>
    </xf>
    <xf numFmtId="0" fontId="35" fillId="0" borderId="14" xfId="1" applyFont="1" applyBorder="1" applyAlignment="1">
      <alignment horizontal="left" vertical="top" wrapText="1"/>
    </xf>
    <xf numFmtId="0" fontId="34" fillId="0" borderId="0" xfId="1" applyFont="1" applyAlignment="1">
      <alignment vertical="top"/>
    </xf>
    <xf numFmtId="3" fontId="34" fillId="0" borderId="17" xfId="1" applyNumberFormat="1" applyFont="1" applyBorder="1" applyAlignment="1">
      <alignment horizontal="center" vertical="top" wrapText="1"/>
    </xf>
    <xf numFmtId="0" fontId="18" fillId="6" borderId="13" xfId="1" applyFont="1" applyFill="1" applyBorder="1" applyAlignment="1">
      <alignment horizontal="left" vertical="top"/>
    </xf>
    <xf numFmtId="0" fontId="20" fillId="7" borderId="0" xfId="1" applyFont="1" applyFill="1" applyAlignment="1">
      <alignment vertical="top"/>
    </xf>
    <xf numFmtId="164" fontId="20" fillId="7" borderId="0" xfId="1" applyNumberFormat="1" applyFont="1" applyFill="1" applyAlignment="1">
      <alignment vertical="top"/>
    </xf>
    <xf numFmtId="2" fontId="20" fillId="7" borderId="0" xfId="1" applyNumberFormat="1" applyFont="1" applyFill="1" applyAlignment="1">
      <alignment vertical="top"/>
    </xf>
    <xf numFmtId="0" fontId="20" fillId="7" borderId="14" xfId="1" applyFont="1" applyFill="1" applyBorder="1" applyAlignment="1">
      <alignment vertical="top" wrapText="1"/>
    </xf>
    <xf numFmtId="0" fontId="31" fillId="2" borderId="0" xfId="1" applyFont="1" applyFill="1" applyAlignment="1">
      <alignment vertical="top"/>
    </xf>
    <xf numFmtId="2" fontId="19" fillId="0" borderId="7" xfId="1" applyNumberFormat="1" applyFont="1" applyBorder="1" applyAlignment="1">
      <alignment vertical="top"/>
    </xf>
    <xf numFmtId="2" fontId="19" fillId="0" borderId="15" xfId="1" applyNumberFormat="1" applyFont="1" applyBorder="1" applyAlignment="1">
      <alignment vertical="top"/>
    </xf>
    <xf numFmtId="0" fontId="11" fillId="0" borderId="17" xfId="1" applyFont="1" applyBorder="1" applyAlignment="1">
      <alignment horizontal="left" vertical="top"/>
    </xf>
    <xf numFmtId="3" fontId="11" fillId="0" borderId="8" xfId="1" applyNumberFormat="1" applyFont="1" applyBorder="1" applyAlignment="1">
      <alignment vertical="top"/>
    </xf>
    <xf numFmtId="3" fontId="11" fillId="0" borderId="9" xfId="1" applyNumberFormat="1" applyFont="1" applyBorder="1" applyAlignment="1">
      <alignment vertical="top"/>
    </xf>
    <xf numFmtId="3" fontId="11" fillId="0" borderId="9" xfId="1" applyNumberFormat="1" applyFont="1" applyBorder="1" applyAlignment="1">
      <alignment horizontal="center" vertical="top" wrapText="1"/>
    </xf>
    <xf numFmtId="3" fontId="10" fillId="0" borderId="16" xfId="1" applyNumberFormat="1" applyFont="1" applyBorder="1" applyAlignment="1">
      <alignment horizontal="left" vertical="top" wrapText="1"/>
    </xf>
    <xf numFmtId="2" fontId="19" fillId="0" borderId="0" xfId="1" applyNumberFormat="1" applyFont="1" applyAlignment="1">
      <alignment vertical="top"/>
    </xf>
    <xf numFmtId="164" fontId="34" fillId="0" borderId="9" xfId="1" applyNumberFormat="1" applyFont="1" applyBorder="1" applyAlignment="1">
      <alignment horizontal="right" vertical="top"/>
    </xf>
    <xf numFmtId="164" fontId="4" fillId="2" borderId="0" xfId="1" applyNumberFormat="1" applyFont="1" applyFill="1" applyAlignment="1">
      <alignment vertical="top"/>
    </xf>
    <xf numFmtId="0" fontId="30" fillId="0" borderId="0" xfId="1" applyFont="1" applyAlignment="1">
      <alignment vertical="top"/>
    </xf>
    <xf numFmtId="0" fontId="4" fillId="2" borderId="0" xfId="1" applyFont="1" applyFill="1" applyAlignment="1">
      <alignment vertical="top" wrapText="1"/>
    </xf>
    <xf numFmtId="0" fontId="25" fillId="0" borderId="0" xfId="1" applyFont="1" applyAlignment="1">
      <alignment vertical="top"/>
    </xf>
    <xf numFmtId="0" fontId="4" fillId="0" borderId="0" xfId="1" applyFont="1" applyAlignment="1">
      <alignment vertical="top"/>
    </xf>
    <xf numFmtId="164" fontId="31" fillId="2" borderId="12" xfId="1" applyNumberFormat="1" applyFont="1" applyFill="1" applyBorder="1" applyAlignment="1">
      <alignment horizontal="center" vertical="top"/>
    </xf>
    <xf numFmtId="0" fontId="4" fillId="2" borderId="12" xfId="1" applyFont="1" applyFill="1" applyBorder="1" applyAlignment="1">
      <alignment vertical="top"/>
    </xf>
    <xf numFmtId="14" fontId="32" fillId="2" borderId="12" xfId="1" applyNumberFormat="1" applyFont="1" applyFill="1" applyBorder="1" applyAlignment="1">
      <alignment horizontal="center" vertical="top"/>
    </xf>
    <xf numFmtId="164" fontId="27" fillId="5" borderId="12" xfId="1" applyNumberFormat="1" applyFont="1" applyFill="1" applyBorder="1" applyAlignment="1">
      <alignment horizontal="left" vertical="top"/>
    </xf>
    <xf numFmtId="0" fontId="37" fillId="2" borderId="0" xfId="2" applyFont="1" applyFill="1" applyAlignment="1">
      <alignment vertical="top"/>
    </xf>
    <xf numFmtId="164" fontId="6" fillId="3" borderId="6" xfId="2" applyNumberFormat="1" applyFont="1" applyFill="1" applyBorder="1" applyAlignment="1">
      <alignment horizontal="left" vertical="center"/>
    </xf>
    <xf numFmtId="0" fontId="38" fillId="2" borderId="0" xfId="2" applyFont="1" applyFill="1"/>
    <xf numFmtId="0" fontId="10" fillId="2" borderId="0" xfId="2" applyFont="1" applyFill="1" applyAlignment="1">
      <alignment vertical="top"/>
    </xf>
    <xf numFmtId="164" fontId="19" fillId="0" borderId="9" xfId="2" applyNumberFormat="1" applyFont="1" applyBorder="1" applyAlignment="1">
      <alignment horizontal="right" vertical="top"/>
    </xf>
    <xf numFmtId="0" fontId="10" fillId="2" borderId="13" xfId="2" applyFont="1" applyFill="1" applyBorder="1" applyAlignment="1">
      <alignment vertical="top"/>
    </xf>
    <xf numFmtId="164" fontId="10" fillId="2" borderId="0" xfId="2" applyNumberFormat="1" applyFont="1" applyFill="1" applyAlignment="1">
      <alignment vertical="top"/>
    </xf>
    <xf numFmtId="0" fontId="37" fillId="2" borderId="13" xfId="2" applyFont="1" applyFill="1" applyBorder="1" applyAlignment="1">
      <alignment vertical="top"/>
    </xf>
    <xf numFmtId="164" fontId="37" fillId="2" borderId="0" xfId="2" applyNumberFormat="1" applyFont="1" applyFill="1" applyAlignment="1">
      <alignment vertical="top"/>
    </xf>
    <xf numFmtId="49" fontId="10" fillId="0" borderId="0" xfId="2" applyNumberFormat="1" applyFont="1" applyAlignment="1">
      <alignment vertical="top"/>
    </xf>
    <xf numFmtId="0" fontId="37" fillId="2" borderId="0" xfId="1" applyFont="1" applyFill="1" applyAlignment="1">
      <alignment vertical="top"/>
    </xf>
    <xf numFmtId="0" fontId="5" fillId="3" borderId="4" xfId="1" applyFont="1" applyFill="1" applyBorder="1" applyAlignment="1">
      <alignment vertical="top"/>
    </xf>
    <xf numFmtId="0" fontId="5" fillId="3" borderId="5" xfId="1" applyFont="1" applyFill="1" applyBorder="1" applyAlignment="1">
      <alignment vertical="top"/>
    </xf>
    <xf numFmtId="0" fontId="6" fillId="3" borderId="5" xfId="1" applyFont="1" applyFill="1" applyBorder="1" applyAlignment="1">
      <alignment horizontal="left" vertical="top"/>
    </xf>
    <xf numFmtId="164" fontId="6" fillId="3" borderId="5" xfId="1" applyNumberFormat="1" applyFont="1" applyFill="1" applyBorder="1" applyAlignment="1">
      <alignment horizontal="left" vertical="top"/>
    </xf>
    <xf numFmtId="164" fontId="6" fillId="3" borderId="6" xfId="1" applyNumberFormat="1" applyFont="1" applyFill="1" applyBorder="1" applyAlignment="1">
      <alignment horizontal="left" vertical="top"/>
    </xf>
    <xf numFmtId="0" fontId="38" fillId="2" borderId="0" xfId="1" applyFont="1" applyFill="1"/>
    <xf numFmtId="0" fontId="10" fillId="2" borderId="7" xfId="1" applyFont="1" applyFill="1" applyBorder="1" applyAlignment="1">
      <alignment vertical="top"/>
    </xf>
    <xf numFmtId="0" fontId="10" fillId="2" borderId="8" xfId="1" applyFont="1" applyFill="1" applyBorder="1" applyAlignment="1">
      <alignment vertical="top"/>
    </xf>
    <xf numFmtId="0" fontId="11" fillId="2" borderId="9" xfId="1" applyFont="1" applyFill="1" applyBorder="1" applyAlignment="1">
      <alignment horizontal="right" vertical="top"/>
    </xf>
    <xf numFmtId="3" fontId="12" fillId="2" borderId="9" xfId="1" applyNumberFormat="1" applyFont="1" applyFill="1" applyBorder="1" applyAlignment="1">
      <alignment horizontal="right" vertical="top"/>
    </xf>
    <xf numFmtId="164" fontId="10" fillId="2" borderId="9" xfId="1" applyNumberFormat="1" applyFont="1" applyFill="1" applyBorder="1" applyAlignment="1">
      <alignment horizontal="left" vertical="top"/>
    </xf>
    <xf numFmtId="164" fontId="10" fillId="2" borderId="10" xfId="1" applyNumberFormat="1" applyFont="1" applyFill="1" applyBorder="1" applyAlignment="1">
      <alignment horizontal="left" vertical="top"/>
    </xf>
    <xf numFmtId="0" fontId="10" fillId="2" borderId="0" xfId="1" applyFont="1" applyFill="1" applyAlignment="1">
      <alignment vertical="top"/>
    </xf>
    <xf numFmtId="0" fontId="11" fillId="2" borderId="12" xfId="1" applyFont="1" applyFill="1" applyBorder="1" applyAlignment="1">
      <alignment horizontal="right" vertical="top"/>
    </xf>
    <xf numFmtId="164" fontId="16" fillId="5" borderId="12" xfId="1" applyNumberFormat="1" applyFont="1" applyFill="1" applyBorder="1" applyAlignment="1">
      <alignment horizontal="left" vertical="top"/>
    </xf>
    <xf numFmtId="0" fontId="11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3" fontId="11" fillId="0" borderId="15" xfId="1" applyNumberFormat="1" applyFont="1" applyBorder="1" applyAlignment="1">
      <alignment vertical="top"/>
    </xf>
    <xf numFmtId="165" fontId="19" fillId="0" borderId="13" xfId="1" applyNumberFormat="1" applyFont="1" applyBorder="1" applyAlignment="1">
      <alignment horizontal="left" vertical="top"/>
    </xf>
    <xf numFmtId="165" fontId="19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left" vertical="top"/>
    </xf>
    <xf numFmtId="0" fontId="21" fillId="0" borderId="22" xfId="1" applyFont="1" applyBorder="1" applyAlignment="1">
      <alignment horizontal="center" vertical="top"/>
    </xf>
    <xf numFmtId="0" fontId="11" fillId="0" borderId="17" xfId="1" applyFont="1" applyBorder="1" applyAlignment="1">
      <alignment vertical="top"/>
    </xf>
    <xf numFmtId="3" fontId="11" fillId="0" borderId="16" xfId="1" applyNumberFormat="1" applyFont="1" applyBorder="1" applyAlignment="1">
      <alignment horizontal="center" vertical="top" wrapText="1"/>
    </xf>
    <xf numFmtId="0" fontId="37" fillId="2" borderId="13" xfId="1" applyFont="1" applyFill="1" applyBorder="1" applyAlignment="1">
      <alignment vertical="top"/>
    </xf>
    <xf numFmtId="164" fontId="37" fillId="2" borderId="0" xfId="1" applyNumberFormat="1" applyFont="1" applyFill="1" applyAlignment="1">
      <alignment vertical="top"/>
    </xf>
    <xf numFmtId="3" fontId="14" fillId="2" borderId="9" xfId="2" applyNumberFormat="1" applyFont="1" applyFill="1" applyBorder="1" applyAlignment="1">
      <alignment horizontal="center" vertical="top"/>
    </xf>
    <xf numFmtId="164" fontId="14" fillId="2" borderId="21" xfId="2" applyNumberFormat="1" applyFont="1" applyFill="1" applyBorder="1" applyAlignment="1">
      <alignment horizontal="center" vertical="top"/>
    </xf>
    <xf numFmtId="2" fontId="19" fillId="0" borderId="23" xfId="2" applyNumberFormat="1" applyFont="1" applyBorder="1" applyAlignment="1">
      <alignment horizontal="left" vertical="top"/>
    </xf>
    <xf numFmtId="1" fontId="8" fillId="4" borderId="24" xfId="2" applyNumberFormat="1" applyFont="1" applyFill="1" applyBorder="1" applyAlignment="1">
      <alignment horizontal="center" wrapText="1"/>
    </xf>
    <xf numFmtId="0" fontId="19" fillId="6" borderId="24" xfId="2" applyFont="1" applyFill="1" applyBorder="1" applyAlignment="1">
      <alignment horizontal="left" vertical="top"/>
    </xf>
    <xf numFmtId="0" fontId="11" fillId="7" borderId="24" xfId="2" applyFont="1" applyFill="1" applyBorder="1" applyAlignment="1">
      <alignment vertical="top"/>
    </xf>
    <xf numFmtId="2" fontId="11" fillId="7" borderId="24" xfId="2" applyNumberFormat="1" applyFont="1" applyFill="1" applyBorder="1" applyAlignment="1">
      <alignment vertical="top"/>
    </xf>
    <xf numFmtId="164" fontId="11" fillId="7" borderId="24" xfId="2" applyNumberFormat="1" applyFont="1" applyFill="1" applyBorder="1" applyAlignment="1">
      <alignment vertical="top"/>
    </xf>
    <xf numFmtId="0" fontId="11" fillId="7" borderId="24" xfId="2" applyFont="1" applyFill="1" applyBorder="1" applyAlignment="1">
      <alignment horizontal="left" vertical="top"/>
    </xf>
    <xf numFmtId="2" fontId="10" fillId="7" borderId="24" xfId="2" applyNumberFormat="1" applyFont="1" applyFill="1" applyBorder="1" applyAlignment="1">
      <alignment vertical="top"/>
    </xf>
    <xf numFmtId="0" fontId="20" fillId="7" borderId="24" xfId="1" applyFont="1" applyFill="1" applyBorder="1" applyAlignment="1">
      <alignment vertical="top"/>
    </xf>
    <xf numFmtId="164" fontId="20" fillId="7" borderId="24" xfId="1" applyNumberFormat="1" applyFont="1" applyFill="1" applyBorder="1" applyAlignment="1">
      <alignment vertical="top"/>
    </xf>
    <xf numFmtId="2" fontId="20" fillId="7" borderId="24" xfId="1" applyNumberFormat="1" applyFont="1" applyFill="1" applyBorder="1" applyAlignment="1">
      <alignment vertical="top"/>
    </xf>
    <xf numFmtId="0" fontId="19" fillId="8" borderId="24" xfId="2" applyFont="1" applyFill="1" applyBorder="1" applyAlignment="1">
      <alignment horizontal="left" vertical="top"/>
    </xf>
    <xf numFmtId="0" fontId="11" fillId="9" borderId="24" xfId="2" applyFont="1" applyFill="1" applyBorder="1" applyAlignment="1">
      <alignment horizontal="left" vertical="top"/>
    </xf>
    <xf numFmtId="2" fontId="11" fillId="9" borderId="24" xfId="2" applyNumberFormat="1" applyFont="1" applyFill="1" applyBorder="1" applyAlignment="1">
      <alignment vertical="top"/>
    </xf>
    <xf numFmtId="164" fontId="11" fillId="9" borderId="24" xfId="2" applyNumberFormat="1" applyFont="1" applyFill="1" applyBorder="1" applyAlignment="1">
      <alignment vertical="top"/>
    </xf>
    <xf numFmtId="164" fontId="10" fillId="9" borderId="24" xfId="2" applyNumberFormat="1" applyFont="1" applyFill="1" applyBorder="1" applyAlignment="1">
      <alignment vertical="top"/>
    </xf>
    <xf numFmtId="2" fontId="19" fillId="0" borderId="27" xfId="2" applyNumberFormat="1" applyFont="1" applyBorder="1" applyAlignment="1">
      <alignment horizontal="left" vertical="top"/>
    </xf>
    <xf numFmtId="0" fontId="10" fillId="0" borderId="27" xfId="2" applyFont="1" applyBorder="1" applyAlignment="1">
      <alignment horizontal="center"/>
    </xf>
    <xf numFmtId="3" fontId="21" fillId="0" borderId="28" xfId="2" applyNumberFormat="1" applyFont="1" applyBorder="1" applyAlignment="1">
      <alignment horizontal="left" vertical="top" wrapText="1"/>
    </xf>
    <xf numFmtId="0" fontId="10" fillId="0" borderId="27" xfId="2" applyFont="1" applyBorder="1" applyAlignment="1">
      <alignment vertical="top"/>
    </xf>
    <xf numFmtId="3" fontId="21" fillId="0" borderId="29" xfId="2" applyNumberFormat="1" applyFont="1" applyBorder="1" applyAlignment="1">
      <alignment horizontal="center" vertical="top"/>
    </xf>
    <xf numFmtId="0" fontId="10" fillId="0" borderId="29" xfId="2" applyFont="1" applyBorder="1" applyAlignment="1">
      <alignment horizontal="center" vertical="top"/>
    </xf>
    <xf numFmtId="0" fontId="21" fillId="0" borderId="27" xfId="2" applyFont="1" applyBorder="1" applyAlignment="1">
      <alignment horizontal="left" vertical="top"/>
    </xf>
    <xf numFmtId="0" fontId="10" fillId="0" borderId="28" xfId="2" applyFont="1" applyBorder="1" applyAlignment="1">
      <alignment horizontal="left" vertical="top" wrapText="1"/>
    </xf>
    <xf numFmtId="2" fontId="19" fillId="0" borderId="30" xfId="2" applyNumberFormat="1" applyFont="1" applyBorder="1" applyAlignment="1">
      <alignment horizontal="left" vertical="top"/>
    </xf>
    <xf numFmtId="2" fontId="19" fillId="0" borderId="31" xfId="2" applyNumberFormat="1" applyFont="1" applyBorder="1" applyAlignment="1">
      <alignment horizontal="left" vertical="top"/>
    </xf>
    <xf numFmtId="0" fontId="11" fillId="0" borderId="32" xfId="2" applyFont="1" applyBorder="1" applyAlignment="1">
      <alignment horizontal="left" vertical="top" wrapText="1"/>
    </xf>
    <xf numFmtId="3" fontId="11" fillId="0" borderId="31" xfId="2" applyNumberFormat="1" applyFont="1" applyBorder="1" applyAlignment="1">
      <alignment horizontal="right" vertical="top" wrapText="1"/>
    </xf>
    <xf numFmtId="3" fontId="11" fillId="0" borderId="33" xfId="2" applyNumberFormat="1" applyFont="1" applyBorder="1" applyAlignment="1">
      <alignment horizontal="right" vertical="top" wrapText="1"/>
    </xf>
    <xf numFmtId="2" fontId="19" fillId="0" borderId="35" xfId="2" applyNumberFormat="1" applyFont="1" applyBorder="1" applyAlignment="1">
      <alignment horizontal="left" vertical="top"/>
    </xf>
    <xf numFmtId="2" fontId="19" fillId="0" borderId="36" xfId="2" applyNumberFormat="1" applyFont="1" applyBorder="1" applyAlignment="1">
      <alignment horizontal="left" vertical="top"/>
    </xf>
    <xf numFmtId="0" fontId="11" fillId="0" borderId="37" xfId="2" applyFont="1" applyBorder="1" applyAlignment="1">
      <alignment horizontal="left" vertical="top" wrapText="1"/>
    </xf>
    <xf numFmtId="3" fontId="11" fillId="0" borderId="38" xfId="2" applyNumberFormat="1" applyFont="1" applyBorder="1" applyAlignment="1">
      <alignment horizontal="right" vertical="top" wrapText="1"/>
    </xf>
    <xf numFmtId="164" fontId="23" fillId="0" borderId="38" xfId="2" applyNumberFormat="1" applyFont="1" applyBorder="1" applyAlignment="1">
      <alignment horizontal="right" vertical="top"/>
    </xf>
    <xf numFmtId="3" fontId="11" fillId="0" borderId="38" xfId="2" applyNumberFormat="1" applyFont="1" applyBorder="1" applyAlignment="1">
      <alignment horizontal="center" vertical="top" wrapText="1"/>
    </xf>
    <xf numFmtId="0" fontId="10" fillId="2" borderId="30" xfId="2" applyFont="1" applyFill="1" applyBorder="1" applyAlignment="1">
      <alignment vertical="top"/>
    </xf>
    <xf numFmtId="0" fontId="10" fillId="2" borderId="40" xfId="2" applyFont="1" applyFill="1" applyBorder="1" applyAlignment="1">
      <alignment vertical="top"/>
    </xf>
    <xf numFmtId="0" fontId="11" fillId="2" borderId="33" xfId="2" applyFont="1" applyFill="1" applyBorder="1" applyAlignment="1">
      <alignment horizontal="right" vertical="top"/>
    </xf>
    <xf numFmtId="2" fontId="12" fillId="2" borderId="33" xfId="2" applyNumberFormat="1" applyFont="1" applyFill="1" applyBorder="1" applyAlignment="1">
      <alignment horizontal="right" vertical="top"/>
    </xf>
    <xf numFmtId="164" fontId="13" fillId="2" borderId="41" xfId="2" applyNumberFormat="1" applyFont="1" applyFill="1" applyBorder="1" applyAlignment="1">
      <alignment horizontal="left" vertical="top"/>
    </xf>
    <xf numFmtId="164" fontId="10" fillId="2" borderId="33" xfId="2" applyNumberFormat="1" applyFont="1" applyFill="1" applyBorder="1" applyAlignment="1">
      <alignment horizontal="left" vertical="top"/>
    </xf>
    <xf numFmtId="0" fontId="10" fillId="2" borderId="43" xfId="2" applyFont="1" applyFill="1" applyBorder="1" applyAlignment="1">
      <alignment vertical="top"/>
    </xf>
    <xf numFmtId="0" fontId="10" fillId="2" borderId="44" xfId="2" applyFont="1" applyFill="1" applyBorder="1" applyAlignment="1">
      <alignment vertical="top"/>
    </xf>
    <xf numFmtId="0" fontId="11" fillId="2" borderId="41" xfId="2" applyFont="1" applyFill="1" applyBorder="1" applyAlignment="1">
      <alignment horizontal="right" vertical="top"/>
    </xf>
    <xf numFmtId="0" fontId="10" fillId="2" borderId="45" xfId="2" applyFont="1" applyFill="1" applyBorder="1" applyAlignment="1">
      <alignment vertical="top"/>
    </xf>
    <xf numFmtId="0" fontId="10" fillId="2" borderId="46" xfId="2" applyFont="1" applyFill="1" applyBorder="1" applyAlignment="1">
      <alignment vertical="top"/>
    </xf>
    <xf numFmtId="3" fontId="14" fillId="2" borderId="47" xfId="2" applyNumberFormat="1" applyFont="1" applyFill="1" applyBorder="1" applyAlignment="1">
      <alignment horizontal="right" vertical="top"/>
    </xf>
    <xf numFmtId="164" fontId="13" fillId="2" borderId="47" xfId="2" applyNumberFormat="1" applyFont="1" applyFill="1" applyBorder="1" applyAlignment="1">
      <alignment horizontal="left" vertical="top"/>
    </xf>
    <xf numFmtId="14" fontId="15" fillId="2" borderId="47" xfId="2" applyNumberFormat="1" applyFont="1" applyFill="1" applyBorder="1" applyAlignment="1">
      <alignment horizontal="center" vertical="top"/>
    </xf>
    <xf numFmtId="164" fontId="14" fillId="2" borderId="47" xfId="2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164" fontId="10" fillId="2" borderId="11" xfId="1" applyNumberFormat="1" applyFont="1" applyFill="1" applyBorder="1" applyAlignment="1">
      <alignment horizontal="left" vertical="top" wrapText="1"/>
    </xf>
    <xf numFmtId="164" fontId="10" fillId="2" borderId="20" xfId="1" applyNumberFormat="1" applyFont="1" applyFill="1" applyBorder="1" applyAlignment="1">
      <alignment horizontal="left" vertical="top" wrapText="1"/>
    </xf>
    <xf numFmtId="164" fontId="10" fillId="2" borderId="10" xfId="2" applyNumberFormat="1" applyFont="1" applyFill="1" applyBorder="1" applyAlignment="1">
      <alignment horizontal="left" vertical="top" wrapText="1"/>
    </xf>
    <xf numFmtId="164" fontId="10" fillId="2" borderId="14" xfId="1" applyNumberFormat="1" applyFont="1" applyFill="1" applyBorder="1" applyAlignment="1">
      <alignment horizontal="left" vertical="top" wrapText="1"/>
    </xf>
    <xf numFmtId="164" fontId="10" fillId="2" borderId="21" xfId="1" applyNumberFormat="1" applyFont="1" applyFill="1" applyBorder="1" applyAlignment="1">
      <alignment horizontal="left" vertical="top" wrapText="1"/>
    </xf>
    <xf numFmtId="164" fontId="10" fillId="2" borderId="14" xfId="2" applyNumberFormat="1" applyFont="1" applyFill="1" applyBorder="1" applyAlignment="1">
      <alignment horizontal="left" vertical="top" wrapText="1"/>
    </xf>
    <xf numFmtId="164" fontId="10" fillId="2" borderId="21" xfId="2" applyNumberFormat="1" applyFont="1" applyFill="1" applyBorder="1" applyAlignment="1">
      <alignment horizontal="left" vertical="top" wrapText="1"/>
    </xf>
    <xf numFmtId="1" fontId="8" fillId="4" borderId="48" xfId="2" applyNumberFormat="1" applyFont="1" applyFill="1" applyBorder="1" applyAlignment="1">
      <alignment horizontal="center" wrapText="1"/>
    </xf>
    <xf numFmtId="1" fontId="8" fillId="4" borderId="49" xfId="2" applyNumberFormat="1" applyFont="1" applyFill="1" applyBorder="1" applyAlignment="1">
      <alignment horizontal="center" wrapText="1"/>
    </xf>
    <xf numFmtId="164" fontId="10" fillId="2" borderId="50" xfId="2" applyNumberFormat="1" applyFont="1" applyFill="1" applyBorder="1" applyAlignment="1">
      <alignment horizontal="left" vertical="top"/>
    </xf>
    <xf numFmtId="164" fontId="10" fillId="2" borderId="41" xfId="2" applyNumberFormat="1" applyFont="1" applyFill="1" applyBorder="1" applyAlignment="1">
      <alignment horizontal="left" vertical="top"/>
    </xf>
    <xf numFmtId="164" fontId="14" fillId="2" borderId="42" xfId="2" applyNumberFormat="1" applyFont="1" applyFill="1" applyBorder="1" applyAlignment="1">
      <alignment horizontal="center" vertical="top"/>
    </xf>
    <xf numFmtId="164" fontId="16" fillId="5" borderId="51" xfId="2" applyNumberFormat="1" applyFont="1" applyFill="1" applyBorder="1" applyAlignment="1">
      <alignment horizontal="left" vertical="top"/>
    </xf>
    <xf numFmtId="164" fontId="16" fillId="5" borderId="52" xfId="2" applyNumberFormat="1" applyFont="1" applyFill="1" applyBorder="1" applyAlignment="1">
      <alignment horizontal="left" vertical="top"/>
    </xf>
    <xf numFmtId="164" fontId="17" fillId="5" borderId="52" xfId="2" applyNumberFormat="1" applyFont="1" applyFill="1" applyBorder="1" applyAlignment="1">
      <alignment horizontal="center" vertical="top" wrapText="1"/>
    </xf>
    <xf numFmtId="164" fontId="17" fillId="5" borderId="53" xfId="2" applyNumberFormat="1" applyFont="1" applyFill="1" applyBorder="1" applyAlignment="1">
      <alignment horizontal="center" vertical="top" wrapText="1"/>
    </xf>
    <xf numFmtId="0" fontId="18" fillId="6" borderId="54" xfId="2" applyFont="1" applyFill="1" applyBorder="1" applyAlignment="1">
      <alignment horizontal="left" vertical="top"/>
    </xf>
    <xf numFmtId="164" fontId="11" fillId="7" borderId="25" xfId="2" applyNumberFormat="1" applyFont="1" applyFill="1" applyBorder="1" applyAlignment="1">
      <alignment vertical="top"/>
    </xf>
    <xf numFmtId="2" fontId="19" fillId="0" borderId="51" xfId="2" applyNumberFormat="1" applyFont="1" applyBorder="1" applyAlignment="1">
      <alignment horizontal="left" vertical="top"/>
    </xf>
    <xf numFmtId="2" fontId="19" fillId="0" borderId="52" xfId="2" applyNumberFormat="1" applyFont="1" applyBorder="1" applyAlignment="1">
      <alignment horizontal="left" vertical="top"/>
    </xf>
    <xf numFmtId="0" fontId="10" fillId="0" borderId="52" xfId="2" applyFont="1" applyBorder="1" applyAlignment="1">
      <alignment horizontal="left" vertical="top"/>
    </xf>
    <xf numFmtId="0" fontId="10" fillId="0" borderId="52" xfId="2" applyFont="1" applyBorder="1" applyAlignment="1">
      <alignment horizontal="center"/>
    </xf>
    <xf numFmtId="0" fontId="13" fillId="0" borderId="55" xfId="2" applyFont="1" applyBorder="1" applyAlignment="1">
      <alignment horizontal="center" vertical="top"/>
    </xf>
    <xf numFmtId="3" fontId="13" fillId="0" borderId="55" xfId="2" applyNumberFormat="1" applyFont="1" applyBorder="1" applyAlignment="1">
      <alignment horizontal="center" vertical="top"/>
    </xf>
    <xf numFmtId="3" fontId="11" fillId="0" borderId="55" xfId="2" applyNumberFormat="1" applyFont="1" applyBorder="1" applyAlignment="1">
      <alignment horizontal="center" vertical="top" wrapText="1"/>
    </xf>
    <xf numFmtId="3" fontId="13" fillId="0" borderId="53" xfId="2" applyNumberFormat="1" applyFont="1" applyBorder="1" applyAlignment="1">
      <alignment horizontal="left" vertical="top" wrapText="1"/>
    </xf>
    <xf numFmtId="0" fontId="13" fillId="0" borderId="56" xfId="2" applyFont="1" applyBorder="1" applyAlignment="1">
      <alignment horizontal="center" vertical="top"/>
    </xf>
    <xf numFmtId="0" fontId="21" fillId="0" borderId="56" xfId="2" applyFont="1" applyBorder="1" applyAlignment="1">
      <alignment horizontal="center" vertical="top"/>
    </xf>
    <xf numFmtId="3" fontId="21" fillId="0" borderId="56" xfId="2" applyNumberFormat="1" applyFont="1" applyBorder="1" applyAlignment="1">
      <alignment horizontal="center" vertical="top" wrapText="1"/>
    </xf>
    <xf numFmtId="0" fontId="21" fillId="0" borderId="55" xfId="2" applyFont="1" applyBorder="1" applyAlignment="1">
      <alignment horizontal="center" vertical="top"/>
    </xf>
    <xf numFmtId="3" fontId="21" fillId="0" borderId="55" xfId="2" applyNumberFormat="1" applyFont="1" applyBorder="1" applyAlignment="1">
      <alignment horizontal="center" vertical="top"/>
    </xf>
    <xf numFmtId="3" fontId="10" fillId="0" borderId="55" xfId="2" applyNumberFormat="1" applyFont="1" applyBorder="1" applyAlignment="1">
      <alignment horizontal="center" vertical="top" wrapText="1"/>
    </xf>
    <xf numFmtId="3" fontId="21" fillId="0" borderId="53" xfId="2" applyNumberFormat="1" applyFont="1" applyBorder="1" applyAlignment="1">
      <alignment horizontal="left" vertical="top" wrapText="1"/>
    </xf>
    <xf numFmtId="0" fontId="10" fillId="0" borderId="55" xfId="2" applyFont="1" applyBorder="1" applyAlignment="1">
      <alignment horizontal="center" vertical="top"/>
    </xf>
    <xf numFmtId="3" fontId="10" fillId="0" borderId="55" xfId="2" applyNumberFormat="1" applyFont="1" applyBorder="1" applyAlignment="1">
      <alignment horizontal="center" vertical="top"/>
    </xf>
    <xf numFmtId="3" fontId="22" fillId="0" borderId="55" xfId="2" applyNumberFormat="1" applyFont="1" applyBorder="1" applyAlignment="1">
      <alignment horizontal="center" vertical="top"/>
    </xf>
    <xf numFmtId="4" fontId="11" fillId="0" borderId="33" xfId="2" applyNumberFormat="1" applyFont="1" applyBorder="1" applyAlignment="1">
      <alignment horizontal="center" vertical="top" wrapText="1"/>
    </xf>
    <xf numFmtId="4" fontId="10" fillId="0" borderId="34" xfId="2" applyNumberFormat="1" applyFont="1" applyBorder="1" applyAlignment="1">
      <alignment horizontal="left" vertical="top" wrapText="1"/>
    </xf>
    <xf numFmtId="2" fontId="19" fillId="0" borderId="57" xfId="2" applyNumberFormat="1" applyFont="1" applyBorder="1" applyAlignment="1">
      <alignment horizontal="left" vertical="top"/>
    </xf>
    <xf numFmtId="2" fontId="19" fillId="0" borderId="58" xfId="2" applyNumberFormat="1" applyFont="1" applyBorder="1" applyAlignment="1">
      <alignment horizontal="left" vertical="top"/>
    </xf>
    <xf numFmtId="0" fontId="11" fillId="0" borderId="59" xfId="2" applyFont="1" applyBorder="1" applyAlignment="1">
      <alignment horizontal="left" vertical="top" wrapText="1"/>
    </xf>
    <xf numFmtId="3" fontId="11" fillId="0" borderId="58" xfId="2" applyNumberFormat="1" applyFont="1" applyBorder="1" applyAlignment="1">
      <alignment horizontal="right" vertical="top" wrapText="1"/>
    </xf>
    <xf numFmtId="3" fontId="11" fillId="0" borderId="60" xfId="2" applyNumberFormat="1" applyFont="1" applyBorder="1" applyAlignment="1">
      <alignment horizontal="right" vertical="top" wrapText="1"/>
    </xf>
    <xf numFmtId="3" fontId="11" fillId="0" borderId="60" xfId="2" applyNumberFormat="1" applyFont="1" applyBorder="1" applyAlignment="1">
      <alignment horizontal="center" vertical="top" wrapText="1"/>
    </xf>
    <xf numFmtId="3" fontId="10" fillId="0" borderId="61" xfId="2" applyNumberFormat="1" applyFont="1" applyBorder="1" applyAlignment="1">
      <alignment horizontal="left" vertical="top" wrapText="1"/>
    </xf>
    <xf numFmtId="164" fontId="10" fillId="7" borderId="25" xfId="2" applyNumberFormat="1" applyFont="1" applyFill="1" applyBorder="1" applyAlignment="1">
      <alignment horizontal="left" vertical="top"/>
    </xf>
    <xf numFmtId="3" fontId="10" fillId="0" borderId="53" xfId="2" applyNumberFormat="1" applyFont="1" applyBorder="1" applyAlignment="1">
      <alignment horizontal="left" vertical="top"/>
    </xf>
    <xf numFmtId="0" fontId="10" fillId="0" borderId="52" xfId="2" applyFont="1" applyBorder="1" applyAlignment="1">
      <alignment vertical="top"/>
    </xf>
    <xf numFmtId="0" fontId="10" fillId="0" borderId="53" xfId="2" applyFont="1" applyBorder="1" applyAlignment="1">
      <alignment horizontal="left" vertical="top"/>
    </xf>
    <xf numFmtId="2" fontId="19" fillId="0" borderId="51" xfId="2" applyNumberFormat="1" applyFont="1" applyBorder="1" applyAlignment="1">
      <alignment horizontal="left"/>
    </xf>
    <xf numFmtId="2" fontId="19" fillId="0" borderId="52" xfId="2" applyNumberFormat="1" applyFont="1" applyBorder="1" applyAlignment="1">
      <alignment horizontal="left"/>
    </xf>
    <xf numFmtId="0" fontId="10" fillId="0" borderId="52" xfId="2" applyFont="1" applyBorder="1" applyAlignment="1">
      <alignment horizontal="center" vertical="top"/>
    </xf>
    <xf numFmtId="2" fontId="19" fillId="0" borderId="62" xfId="2" applyNumberFormat="1" applyFont="1" applyBorder="1" applyAlignment="1">
      <alignment horizontal="left" vertical="top"/>
    </xf>
    <xf numFmtId="2" fontId="19" fillId="0" borderId="63" xfId="2" applyNumberFormat="1" applyFont="1" applyBorder="1" applyAlignment="1">
      <alignment horizontal="left" vertical="top"/>
    </xf>
    <xf numFmtId="0" fontId="11" fillId="0" borderId="64" xfId="2" applyFont="1" applyBorder="1" applyAlignment="1">
      <alignment horizontal="left" vertical="top" wrapText="1"/>
    </xf>
    <xf numFmtId="3" fontId="11" fillId="0" borderId="63" xfId="2" applyNumberFormat="1" applyFont="1" applyBorder="1" applyAlignment="1">
      <alignment horizontal="right" vertical="top" wrapText="1"/>
    </xf>
    <xf numFmtId="3" fontId="11" fillId="0" borderId="65" xfId="2" applyNumberFormat="1" applyFont="1" applyBorder="1" applyAlignment="1">
      <alignment horizontal="right" vertical="top" wrapText="1"/>
    </xf>
    <xf numFmtId="3" fontId="11" fillId="0" borderId="65" xfId="2" applyNumberFormat="1" applyFont="1" applyBorder="1" applyAlignment="1">
      <alignment horizontal="center" vertical="top" wrapText="1"/>
    </xf>
    <xf numFmtId="3" fontId="10" fillId="0" borderId="66" xfId="2" applyNumberFormat="1" applyFont="1" applyBorder="1" applyAlignment="1">
      <alignment horizontal="left" vertical="top" wrapText="1"/>
    </xf>
    <xf numFmtId="164" fontId="13" fillId="7" borderId="25" xfId="2" applyNumberFormat="1" applyFont="1" applyFill="1" applyBorder="1" applyAlignment="1">
      <alignment horizontal="left" vertical="top"/>
    </xf>
    <xf numFmtId="0" fontId="10" fillId="0" borderId="67" xfId="2" applyFont="1" applyBorder="1" applyAlignment="1">
      <alignment horizontal="left" vertical="top" wrapText="1"/>
    </xf>
    <xf numFmtId="0" fontId="21" fillId="0" borderId="67" xfId="2" applyFont="1" applyBorder="1" applyAlignment="1">
      <alignment horizontal="left" vertical="top" wrapText="1"/>
    </xf>
    <xf numFmtId="0" fontId="21" fillId="0" borderId="67" xfId="2" applyFont="1" applyBorder="1" applyAlignment="1">
      <alignment horizontal="left" vertical="top"/>
    </xf>
    <xf numFmtId="0" fontId="13" fillId="0" borderId="67" xfId="2" applyFont="1" applyBorder="1" applyAlignment="1">
      <alignment horizontal="left" vertical="top"/>
    </xf>
    <xf numFmtId="0" fontId="21" fillId="0" borderId="68" xfId="2" applyFont="1" applyBorder="1" applyAlignment="1">
      <alignment horizontal="left" vertical="top"/>
    </xf>
    <xf numFmtId="3" fontId="21" fillId="0" borderId="69" xfId="2" applyNumberFormat="1" applyFont="1" applyBorder="1" applyAlignment="1">
      <alignment horizontal="center" vertical="top" wrapText="1"/>
    </xf>
    <xf numFmtId="3" fontId="21" fillId="0" borderId="69" xfId="2" applyNumberFormat="1" applyFont="1" applyBorder="1" applyAlignment="1">
      <alignment horizontal="center" vertical="top"/>
    </xf>
    <xf numFmtId="3" fontId="10" fillId="0" borderId="69" xfId="2" applyNumberFormat="1" applyFont="1" applyBorder="1" applyAlignment="1">
      <alignment horizontal="center" vertical="top" wrapText="1"/>
    </xf>
    <xf numFmtId="3" fontId="13" fillId="0" borderId="69" xfId="2" applyNumberFormat="1" applyFont="1" applyBorder="1" applyAlignment="1">
      <alignment horizontal="center" vertical="top"/>
    </xf>
    <xf numFmtId="3" fontId="13" fillId="0" borderId="67" xfId="2" applyNumberFormat="1" applyFont="1" applyBorder="1" applyAlignment="1">
      <alignment horizontal="left" vertical="top" wrapText="1"/>
    </xf>
    <xf numFmtId="0" fontId="21" fillId="2" borderId="69" xfId="2" applyFont="1" applyFill="1" applyBorder="1" applyAlignment="1">
      <alignment horizontal="center" vertical="top"/>
    </xf>
    <xf numFmtId="3" fontId="21" fillId="2" borderId="69" xfId="2" applyNumberFormat="1" applyFont="1" applyFill="1" applyBorder="1" applyAlignment="1">
      <alignment horizontal="center" vertical="top"/>
    </xf>
    <xf numFmtId="3" fontId="13" fillId="2" borderId="67" xfId="2" applyNumberFormat="1" applyFont="1" applyFill="1" applyBorder="1" applyAlignment="1">
      <alignment horizontal="left" vertical="top" wrapText="1"/>
    </xf>
    <xf numFmtId="3" fontId="11" fillId="0" borderId="70" xfId="2" applyNumberFormat="1" applyFont="1" applyBorder="1" applyAlignment="1">
      <alignment horizontal="right" vertical="top" wrapText="1"/>
    </xf>
    <xf numFmtId="0" fontId="11" fillId="0" borderId="71" xfId="2" applyFont="1" applyBorder="1" applyAlignment="1">
      <alignment horizontal="left" vertical="top" wrapText="1"/>
    </xf>
    <xf numFmtId="3" fontId="11" fillId="0" borderId="72" xfId="2" applyNumberFormat="1" applyFont="1" applyBorder="1" applyAlignment="1">
      <alignment horizontal="right" vertical="top" wrapText="1"/>
    </xf>
    <xf numFmtId="3" fontId="11" fillId="0" borderId="73" xfId="2" applyNumberFormat="1" applyFont="1" applyBorder="1" applyAlignment="1">
      <alignment horizontal="right" vertical="top" wrapText="1"/>
    </xf>
    <xf numFmtId="3" fontId="11" fillId="0" borderId="73" xfId="2" applyNumberFormat="1" applyFont="1" applyBorder="1" applyAlignment="1">
      <alignment horizontal="center" vertical="top" wrapText="1"/>
    </xf>
    <xf numFmtId="3" fontId="10" fillId="0" borderId="74" xfId="2" applyNumberFormat="1" applyFont="1" applyBorder="1" applyAlignment="1">
      <alignment horizontal="left" vertical="top" wrapText="1"/>
    </xf>
    <xf numFmtId="164" fontId="13" fillId="7" borderId="25" xfId="2" applyNumberFormat="1" applyFont="1" applyFill="1" applyBorder="1" applyAlignment="1">
      <alignment horizontal="left" vertical="top" wrapText="1"/>
    </xf>
    <xf numFmtId="3" fontId="10" fillId="2" borderId="67" xfId="2" applyNumberFormat="1" applyFont="1" applyFill="1" applyBorder="1" applyAlignment="1">
      <alignment horizontal="left" vertical="top" wrapText="1"/>
    </xf>
    <xf numFmtId="3" fontId="21" fillId="0" borderId="67" xfId="2" applyNumberFormat="1" applyFont="1" applyBorder="1" applyAlignment="1">
      <alignment horizontal="left" vertical="top" wrapText="1"/>
    </xf>
    <xf numFmtId="2" fontId="19" fillId="0" borderId="75" xfId="2" applyNumberFormat="1" applyFont="1" applyBorder="1" applyAlignment="1">
      <alignment horizontal="left" vertical="top"/>
    </xf>
    <xf numFmtId="2" fontId="19" fillId="0" borderId="76" xfId="2" applyNumberFormat="1" applyFont="1" applyBorder="1" applyAlignment="1">
      <alignment horizontal="left" vertical="top"/>
    </xf>
    <xf numFmtId="0" fontId="11" fillId="0" borderId="77" xfId="2" applyFont="1" applyBorder="1" applyAlignment="1">
      <alignment horizontal="left" vertical="top" wrapText="1"/>
    </xf>
    <xf numFmtId="3" fontId="11" fillId="0" borderId="78" xfId="2" applyNumberFormat="1" applyFont="1" applyBorder="1" applyAlignment="1">
      <alignment horizontal="right" vertical="top" wrapText="1"/>
    </xf>
    <xf numFmtId="4" fontId="11" fillId="0" borderId="78" xfId="2" applyNumberFormat="1" applyFont="1" applyBorder="1" applyAlignment="1">
      <alignment horizontal="center" vertical="top" wrapText="1"/>
    </xf>
    <xf numFmtId="4" fontId="11" fillId="0" borderId="79" xfId="2" applyNumberFormat="1" applyFont="1" applyBorder="1" applyAlignment="1">
      <alignment horizontal="center" vertical="top" wrapText="1"/>
    </xf>
    <xf numFmtId="2" fontId="19" fillId="0" borderId="80" xfId="2" applyNumberFormat="1" applyFont="1" applyBorder="1" applyAlignment="1">
      <alignment horizontal="left" vertical="top"/>
    </xf>
    <xf numFmtId="2" fontId="19" fillId="0" borderId="81" xfId="2" applyNumberFormat="1" applyFont="1" applyBorder="1" applyAlignment="1">
      <alignment horizontal="left" vertical="top"/>
    </xf>
    <xf numFmtId="0" fontId="11" fillId="0" borderId="82" xfId="2" applyFont="1" applyBorder="1" applyAlignment="1">
      <alignment horizontal="left" vertical="top" wrapText="1"/>
    </xf>
    <xf numFmtId="3" fontId="11" fillId="0" borderId="83" xfId="2" applyNumberFormat="1" applyFont="1" applyBorder="1" applyAlignment="1">
      <alignment horizontal="right" vertical="top" wrapText="1"/>
    </xf>
    <xf numFmtId="3" fontId="11" fillId="0" borderId="84" xfId="2" applyNumberFormat="1" applyFont="1" applyBorder="1" applyAlignment="1">
      <alignment horizontal="right" vertical="top" wrapText="1"/>
    </xf>
    <xf numFmtId="164" fontId="23" fillId="0" borderId="84" xfId="2" applyNumberFormat="1" applyFont="1" applyBorder="1" applyAlignment="1">
      <alignment horizontal="right" vertical="top"/>
    </xf>
    <xf numFmtId="3" fontId="11" fillId="0" borderId="84" xfId="2" applyNumberFormat="1" applyFont="1" applyBorder="1" applyAlignment="1">
      <alignment horizontal="center" vertical="top" wrapText="1"/>
    </xf>
    <xf numFmtId="3" fontId="11" fillId="0" borderId="85" xfId="2" applyNumberFormat="1" applyFont="1" applyBorder="1" applyAlignment="1">
      <alignment horizontal="center" vertical="top" wrapText="1"/>
    </xf>
    <xf numFmtId="1" fontId="8" fillId="4" borderId="86" xfId="2" applyNumberFormat="1" applyFont="1" applyFill="1" applyBorder="1" applyAlignment="1">
      <alignment horizontal="center" wrapText="1"/>
    </xf>
    <xf numFmtId="0" fontId="10" fillId="2" borderId="70" xfId="2" applyFont="1" applyFill="1" applyBorder="1" applyAlignment="1">
      <alignment vertical="top"/>
    </xf>
    <xf numFmtId="0" fontId="11" fillId="2" borderId="78" xfId="2" applyFont="1" applyFill="1" applyBorder="1" applyAlignment="1">
      <alignment horizontal="right" vertical="top"/>
    </xf>
    <xf numFmtId="2" fontId="12" fillId="2" borderId="78" xfId="2" applyNumberFormat="1" applyFont="1" applyFill="1" applyBorder="1" applyAlignment="1">
      <alignment horizontal="right" vertical="top"/>
    </xf>
    <xf numFmtId="164" fontId="13" fillId="2" borderId="87" xfId="2" applyNumberFormat="1" applyFont="1" applyFill="1" applyBorder="1" applyAlignment="1">
      <alignment horizontal="left" vertical="top"/>
    </xf>
    <xf numFmtId="164" fontId="10" fillId="2" borderId="78" xfId="2" applyNumberFormat="1" applyFont="1" applyFill="1" applyBorder="1" applyAlignment="1">
      <alignment horizontal="left" vertical="top"/>
    </xf>
    <xf numFmtId="164" fontId="10" fillId="2" borderId="88" xfId="2" applyNumberFormat="1" applyFont="1" applyFill="1" applyBorder="1" applyAlignment="1">
      <alignment horizontal="left" vertical="top"/>
    </xf>
    <xf numFmtId="0" fontId="10" fillId="2" borderId="89" xfId="2" applyFont="1" applyFill="1" applyBorder="1" applyAlignment="1">
      <alignment vertical="top"/>
    </xf>
    <xf numFmtId="0" fontId="10" fillId="2" borderId="90" xfId="2" applyFont="1" applyFill="1" applyBorder="1" applyAlignment="1">
      <alignment vertical="top"/>
    </xf>
    <xf numFmtId="0" fontId="11" fillId="2" borderId="87" xfId="2" applyFont="1" applyFill="1" applyBorder="1" applyAlignment="1">
      <alignment horizontal="right" vertical="top"/>
    </xf>
    <xf numFmtId="164" fontId="10" fillId="2" borderId="87" xfId="2" applyNumberFormat="1" applyFont="1" applyFill="1" applyBorder="1" applyAlignment="1">
      <alignment horizontal="left" vertical="top"/>
    </xf>
    <xf numFmtId="0" fontId="10" fillId="2" borderId="91" xfId="2" applyFont="1" applyFill="1" applyBorder="1" applyAlignment="1">
      <alignment vertical="top"/>
    </xf>
    <xf numFmtId="3" fontId="14" fillId="2" borderId="92" xfId="2" applyNumberFormat="1" applyFont="1" applyFill="1" applyBorder="1" applyAlignment="1">
      <alignment horizontal="right" vertical="top"/>
    </xf>
    <xf numFmtId="164" fontId="13" fillId="2" borderId="92" xfId="2" applyNumberFormat="1" applyFont="1" applyFill="1" applyBorder="1" applyAlignment="1">
      <alignment horizontal="left" vertical="top"/>
    </xf>
    <xf numFmtId="14" fontId="15" fillId="2" borderId="92" xfId="2" applyNumberFormat="1" applyFont="1" applyFill="1" applyBorder="1" applyAlignment="1">
      <alignment horizontal="center" vertical="top"/>
    </xf>
    <xf numFmtId="164" fontId="14" fillId="2" borderId="92" xfId="2" applyNumberFormat="1" applyFont="1" applyFill="1" applyBorder="1" applyAlignment="1">
      <alignment horizontal="center" vertical="top"/>
    </xf>
    <xf numFmtId="164" fontId="14" fillId="2" borderId="93" xfId="2" applyNumberFormat="1" applyFont="1" applyFill="1" applyBorder="1" applyAlignment="1">
      <alignment horizontal="center" vertical="top"/>
    </xf>
    <xf numFmtId="164" fontId="16" fillId="5" borderId="94" xfId="2" applyNumberFormat="1" applyFont="1" applyFill="1" applyBorder="1" applyAlignment="1">
      <alignment horizontal="left" vertical="top"/>
    </xf>
    <xf numFmtId="164" fontId="16" fillId="5" borderId="68" xfId="2" applyNumberFormat="1" applyFont="1" applyFill="1" applyBorder="1" applyAlignment="1">
      <alignment horizontal="left" vertical="top"/>
    </xf>
    <xf numFmtId="164" fontId="17" fillId="5" borderId="68" xfId="2" applyNumberFormat="1" applyFont="1" applyFill="1" applyBorder="1" applyAlignment="1">
      <alignment horizontal="center" vertical="top" wrapText="1"/>
    </xf>
    <xf numFmtId="164" fontId="17" fillId="5" borderId="67" xfId="2" applyNumberFormat="1" applyFont="1" applyFill="1" applyBorder="1" applyAlignment="1">
      <alignment horizontal="center" vertical="top" wrapText="1"/>
    </xf>
    <xf numFmtId="2" fontId="19" fillId="0" borderId="94" xfId="2" applyNumberFormat="1" applyFont="1" applyBorder="1" applyAlignment="1">
      <alignment horizontal="left" vertical="top"/>
    </xf>
    <xf numFmtId="2" fontId="19" fillId="0" borderId="68" xfId="2" applyNumberFormat="1" applyFont="1" applyBorder="1" applyAlignment="1">
      <alignment horizontal="left" vertical="top"/>
    </xf>
    <xf numFmtId="0" fontId="10" fillId="0" borderId="68" xfId="2" applyFont="1" applyBorder="1" applyAlignment="1">
      <alignment horizontal="left" vertical="top"/>
    </xf>
    <xf numFmtId="0" fontId="10" fillId="0" borderId="68" xfId="2" applyFont="1" applyBorder="1" applyAlignment="1">
      <alignment horizontal="center"/>
    </xf>
    <xf numFmtId="0" fontId="13" fillId="0" borderId="69" xfId="2" applyFont="1" applyBorder="1" applyAlignment="1">
      <alignment horizontal="center" vertical="top"/>
    </xf>
    <xf numFmtId="3" fontId="11" fillId="0" borderId="69" xfId="2" applyNumberFormat="1" applyFont="1" applyBorder="1" applyAlignment="1">
      <alignment horizontal="center" vertical="top" wrapText="1"/>
    </xf>
    <xf numFmtId="0" fontId="10" fillId="0" borderId="69" xfId="2" applyFont="1" applyBorder="1" applyAlignment="1">
      <alignment horizontal="center" vertical="top"/>
    </xf>
    <xf numFmtId="3" fontId="10" fillId="0" borderId="69" xfId="2" applyNumberFormat="1" applyFont="1" applyBorder="1" applyAlignment="1">
      <alignment horizontal="center" vertical="top"/>
    </xf>
    <xf numFmtId="3" fontId="10" fillId="0" borderId="67" xfId="2" applyNumberFormat="1" applyFont="1" applyBorder="1" applyAlignment="1">
      <alignment horizontal="left" vertical="top" wrapText="1"/>
    </xf>
    <xf numFmtId="0" fontId="21" fillId="0" borderId="69" xfId="2" applyFont="1" applyBorder="1" applyAlignment="1">
      <alignment horizontal="center" vertical="top"/>
    </xf>
    <xf numFmtId="3" fontId="22" fillId="0" borderId="69" xfId="2" applyNumberFormat="1" applyFont="1" applyBorder="1" applyAlignment="1">
      <alignment horizontal="center" vertical="top"/>
    </xf>
    <xf numFmtId="3" fontId="11" fillId="0" borderId="76" xfId="2" applyNumberFormat="1" applyFont="1" applyBorder="1" applyAlignment="1">
      <alignment horizontal="right" vertical="top" wrapText="1"/>
    </xf>
    <xf numFmtId="4" fontId="10" fillId="0" borderId="79" xfId="2" applyNumberFormat="1" applyFont="1" applyBorder="1" applyAlignment="1">
      <alignment horizontal="left" vertical="top" wrapText="1"/>
    </xf>
    <xf numFmtId="2" fontId="19" fillId="0" borderId="95" xfId="2" applyNumberFormat="1" applyFont="1" applyBorder="1" applyAlignment="1">
      <alignment horizontal="left" vertical="top"/>
    </xf>
    <xf numFmtId="2" fontId="19" fillId="0" borderId="96" xfId="2" applyNumberFormat="1" applyFont="1" applyBorder="1" applyAlignment="1">
      <alignment horizontal="left" vertical="top"/>
    </xf>
    <xf numFmtId="0" fontId="11" fillId="0" borderId="97" xfId="2" applyFont="1" applyBorder="1" applyAlignment="1">
      <alignment horizontal="left" vertical="top" wrapText="1"/>
    </xf>
    <xf numFmtId="3" fontId="11" fillId="0" borderId="96" xfId="2" applyNumberFormat="1" applyFont="1" applyBorder="1" applyAlignment="1">
      <alignment horizontal="right" vertical="top" wrapText="1"/>
    </xf>
    <xf numFmtId="3" fontId="11" fillId="0" borderId="98" xfId="2" applyNumberFormat="1" applyFont="1" applyBorder="1" applyAlignment="1">
      <alignment horizontal="right" vertical="top" wrapText="1"/>
    </xf>
    <xf numFmtId="3" fontId="11" fillId="0" borderId="98" xfId="2" applyNumberFormat="1" applyFont="1" applyBorder="1" applyAlignment="1">
      <alignment horizontal="center" vertical="top" wrapText="1"/>
    </xf>
    <xf numFmtId="3" fontId="10" fillId="0" borderId="99" xfId="2" applyNumberFormat="1" applyFont="1" applyBorder="1" applyAlignment="1">
      <alignment horizontal="left" vertical="top" wrapText="1"/>
    </xf>
    <xf numFmtId="3" fontId="10" fillId="0" borderId="67" xfId="2" applyNumberFormat="1" applyFont="1" applyBorder="1" applyAlignment="1">
      <alignment horizontal="left" vertical="top"/>
    </xf>
    <xf numFmtId="0" fontId="10" fillId="0" borderId="68" xfId="2" applyFont="1" applyBorder="1" applyAlignment="1">
      <alignment vertical="top"/>
    </xf>
    <xf numFmtId="0" fontId="10" fillId="0" borderId="67" xfId="2" applyFont="1" applyBorder="1" applyAlignment="1">
      <alignment horizontal="left" vertical="top"/>
    </xf>
    <xf numFmtId="2" fontId="19" fillId="0" borderId="94" xfId="2" applyNumberFormat="1" applyFont="1" applyBorder="1" applyAlignment="1">
      <alignment horizontal="left"/>
    </xf>
    <xf numFmtId="2" fontId="19" fillId="0" borderId="68" xfId="2" applyNumberFormat="1" applyFont="1" applyBorder="1" applyAlignment="1">
      <alignment horizontal="left"/>
    </xf>
    <xf numFmtId="0" fontId="10" fillId="0" borderId="68" xfId="2" applyFont="1" applyBorder="1" applyAlignment="1">
      <alignment horizontal="center" vertical="top"/>
    </xf>
    <xf numFmtId="2" fontId="19" fillId="0" borderId="100" xfId="2" applyNumberFormat="1" applyFont="1" applyBorder="1" applyAlignment="1">
      <alignment horizontal="left" vertical="top"/>
    </xf>
    <xf numFmtId="2" fontId="19" fillId="0" borderId="101" xfId="2" applyNumberFormat="1" applyFont="1" applyBorder="1" applyAlignment="1">
      <alignment horizontal="left" vertical="top"/>
    </xf>
    <xf numFmtId="0" fontId="11" fillId="0" borderId="102" xfId="2" applyFont="1" applyBorder="1" applyAlignment="1">
      <alignment horizontal="left" vertical="top" wrapText="1"/>
    </xf>
    <xf numFmtId="3" fontId="11" fillId="0" borderId="101" xfId="2" applyNumberFormat="1" applyFont="1" applyBorder="1" applyAlignment="1">
      <alignment horizontal="right" vertical="top" wrapText="1"/>
    </xf>
    <xf numFmtId="3" fontId="11" fillId="0" borderId="103" xfId="2" applyNumberFormat="1" applyFont="1" applyBorder="1" applyAlignment="1">
      <alignment horizontal="right" vertical="top" wrapText="1"/>
    </xf>
    <xf numFmtId="4" fontId="11" fillId="0" borderId="103" xfId="2" applyNumberFormat="1" applyFont="1" applyBorder="1" applyAlignment="1">
      <alignment horizontal="center" vertical="top" wrapText="1"/>
    </xf>
    <xf numFmtId="4" fontId="10" fillId="0" borderId="104" xfId="2" applyNumberFormat="1" applyFont="1" applyBorder="1" applyAlignment="1">
      <alignment horizontal="left" vertical="top" wrapText="1"/>
    </xf>
    <xf numFmtId="2" fontId="19" fillId="0" borderId="105" xfId="2" applyNumberFormat="1" applyFont="1" applyBorder="1" applyAlignment="1">
      <alignment horizontal="left" vertical="top"/>
    </xf>
    <xf numFmtId="2" fontId="19" fillId="0" borderId="106" xfId="2" applyNumberFormat="1" applyFont="1" applyBorder="1" applyAlignment="1">
      <alignment horizontal="left" vertical="top"/>
    </xf>
    <xf numFmtId="0" fontId="11" fillId="0" borderId="107" xfId="2" applyFont="1" applyBorder="1" applyAlignment="1">
      <alignment horizontal="left" vertical="top" wrapText="1"/>
    </xf>
    <xf numFmtId="3" fontId="11" fillId="0" borderId="106" xfId="2" applyNumberFormat="1" applyFont="1" applyBorder="1" applyAlignment="1">
      <alignment horizontal="right" vertical="top" wrapText="1"/>
    </xf>
    <xf numFmtId="3" fontId="11" fillId="0" borderId="108" xfId="2" applyNumberFormat="1" applyFont="1" applyBorder="1" applyAlignment="1">
      <alignment horizontal="right" vertical="top" wrapText="1"/>
    </xf>
    <xf numFmtId="3" fontId="11" fillId="0" borderId="108" xfId="2" applyNumberFormat="1" applyFont="1" applyBorder="1" applyAlignment="1">
      <alignment horizontal="center" vertical="top" wrapText="1"/>
    </xf>
    <xf numFmtId="3" fontId="10" fillId="0" borderId="109" xfId="2" applyNumberFormat="1" applyFont="1" applyBorder="1" applyAlignment="1">
      <alignment horizontal="left" vertical="top" wrapText="1"/>
    </xf>
    <xf numFmtId="2" fontId="19" fillId="0" borderId="110" xfId="2" applyNumberFormat="1" applyFont="1" applyBorder="1" applyAlignment="1">
      <alignment horizontal="left" vertical="top"/>
    </xf>
    <xf numFmtId="2" fontId="19" fillId="0" borderId="111" xfId="2" applyNumberFormat="1" applyFont="1" applyBorder="1" applyAlignment="1">
      <alignment horizontal="left" vertical="top"/>
    </xf>
    <xf numFmtId="0" fontId="10" fillId="0" borderId="111" xfId="2" applyFont="1" applyBorder="1" applyAlignment="1">
      <alignment horizontal="left" vertical="top"/>
    </xf>
    <xf numFmtId="0" fontId="10" fillId="0" borderId="111" xfId="2" applyFont="1" applyBorder="1" applyAlignment="1">
      <alignment vertical="top"/>
    </xf>
    <xf numFmtId="0" fontId="10" fillId="0" borderId="112" xfId="2" applyFont="1" applyBorder="1" applyAlignment="1">
      <alignment horizontal="center" vertical="top"/>
    </xf>
    <xf numFmtId="0" fontId="21" fillId="0" borderId="112" xfId="2" applyFont="1" applyBorder="1" applyAlignment="1">
      <alignment horizontal="center" vertical="top"/>
    </xf>
    <xf numFmtId="0" fontId="10" fillId="0" borderId="113" xfId="2" applyFont="1" applyBorder="1" applyAlignment="1">
      <alignment horizontal="left" vertical="top" wrapText="1"/>
    </xf>
    <xf numFmtId="0" fontId="13" fillId="0" borderId="113" xfId="2" applyFont="1" applyBorder="1" applyAlignment="1">
      <alignment horizontal="left" vertical="top"/>
    </xf>
    <xf numFmtId="0" fontId="21" fillId="0" borderId="113" xfId="2" applyFont="1" applyBorder="1" applyAlignment="1">
      <alignment horizontal="left" vertical="top" wrapText="1"/>
    </xf>
    <xf numFmtId="0" fontId="13" fillId="0" borderId="112" xfId="2" applyFont="1" applyBorder="1" applyAlignment="1">
      <alignment horizontal="center" vertical="top"/>
    </xf>
    <xf numFmtId="0" fontId="21" fillId="0" borderId="113" xfId="2" applyFont="1" applyBorder="1" applyAlignment="1">
      <alignment horizontal="left" vertical="top"/>
    </xf>
    <xf numFmtId="0" fontId="21" fillId="0" borderId="111" xfId="2" applyFont="1" applyBorder="1" applyAlignment="1">
      <alignment horizontal="left" vertical="top"/>
    </xf>
    <xf numFmtId="3" fontId="21" fillId="0" borderId="112" xfId="2" applyNumberFormat="1" applyFont="1" applyBorder="1" applyAlignment="1">
      <alignment horizontal="center" vertical="top" wrapText="1"/>
    </xf>
    <xf numFmtId="0" fontId="10" fillId="0" borderId="113" xfId="2" applyFont="1" applyBorder="1" applyAlignment="1">
      <alignment horizontal="left" vertical="top"/>
    </xf>
    <xf numFmtId="3" fontId="10" fillId="0" borderId="112" xfId="2" applyNumberFormat="1" applyFont="1" applyBorder="1" applyAlignment="1">
      <alignment horizontal="center" vertical="top" wrapText="1"/>
    </xf>
    <xf numFmtId="3" fontId="10" fillId="0" borderId="112" xfId="2" applyNumberFormat="1" applyFont="1" applyBorder="1" applyAlignment="1">
      <alignment horizontal="center" vertical="top"/>
    </xf>
    <xf numFmtId="0" fontId="10" fillId="0" borderId="111" xfId="2" applyFont="1" applyBorder="1" applyAlignment="1">
      <alignment horizontal="center"/>
    </xf>
    <xf numFmtId="3" fontId="21" fillId="0" borderId="112" xfId="2" applyNumberFormat="1" applyFont="1" applyBorder="1" applyAlignment="1">
      <alignment horizontal="center" vertical="top"/>
    </xf>
    <xf numFmtId="3" fontId="13" fillId="0" borderId="112" xfId="2" applyNumberFormat="1" applyFont="1" applyBorder="1" applyAlignment="1">
      <alignment horizontal="center" vertical="top"/>
    </xf>
    <xf numFmtId="3" fontId="13" fillId="0" borderId="113" xfId="2" applyNumberFormat="1" applyFont="1" applyBorder="1" applyAlignment="1">
      <alignment horizontal="left" vertical="top" wrapText="1"/>
    </xf>
    <xf numFmtId="0" fontId="21" fillId="2" borderId="112" xfId="2" applyFont="1" applyFill="1" applyBorder="1" applyAlignment="1">
      <alignment horizontal="center" vertical="top"/>
    </xf>
    <xf numFmtId="3" fontId="21" fillId="2" borderId="112" xfId="2" applyNumberFormat="1" applyFont="1" applyFill="1" applyBorder="1" applyAlignment="1">
      <alignment horizontal="center" vertical="top"/>
    </xf>
    <xf numFmtId="3" fontId="10" fillId="2" borderId="113" xfId="2" applyNumberFormat="1" applyFont="1" applyFill="1" applyBorder="1" applyAlignment="1">
      <alignment horizontal="left" vertical="top" wrapText="1"/>
    </xf>
    <xf numFmtId="3" fontId="13" fillId="2" borderId="113" xfId="2" applyNumberFormat="1" applyFont="1" applyFill="1" applyBorder="1" applyAlignment="1">
      <alignment horizontal="left" vertical="top" wrapText="1"/>
    </xf>
    <xf numFmtId="3" fontId="11" fillId="0" borderId="114" xfId="2" applyNumberFormat="1" applyFont="1" applyBorder="1" applyAlignment="1">
      <alignment horizontal="right" vertical="top" wrapText="1"/>
    </xf>
    <xf numFmtId="0" fontId="11" fillId="0" borderId="115" xfId="2" applyFont="1" applyBorder="1" applyAlignment="1">
      <alignment horizontal="left" vertical="top" wrapText="1"/>
    </xf>
    <xf numFmtId="3" fontId="11" fillId="0" borderId="116" xfId="2" applyNumberFormat="1" applyFont="1" applyBorder="1" applyAlignment="1">
      <alignment horizontal="right" vertical="top" wrapText="1"/>
    </xf>
    <xf numFmtId="3" fontId="11" fillId="0" borderId="117" xfId="2" applyNumberFormat="1" applyFont="1" applyBorder="1" applyAlignment="1">
      <alignment horizontal="right" vertical="top" wrapText="1"/>
    </xf>
    <xf numFmtId="3" fontId="11" fillId="0" borderId="117" xfId="2" applyNumberFormat="1" applyFont="1" applyBorder="1" applyAlignment="1">
      <alignment horizontal="center" vertical="top" wrapText="1"/>
    </xf>
    <xf numFmtId="3" fontId="10" fillId="0" borderId="118" xfId="2" applyNumberFormat="1" applyFont="1" applyBorder="1" applyAlignment="1">
      <alignment horizontal="left" vertical="top" wrapText="1"/>
    </xf>
    <xf numFmtId="3" fontId="21" fillId="0" borderId="113" xfId="2" applyNumberFormat="1" applyFont="1" applyBorder="1" applyAlignment="1">
      <alignment horizontal="left" vertical="top" wrapText="1"/>
    </xf>
    <xf numFmtId="4" fontId="11" fillId="0" borderId="104" xfId="2" applyNumberFormat="1" applyFont="1" applyBorder="1" applyAlignment="1">
      <alignment horizontal="center" vertical="top" wrapText="1"/>
    </xf>
    <xf numFmtId="2" fontId="19" fillId="0" borderId="119" xfId="2" applyNumberFormat="1" applyFont="1" applyBorder="1" applyAlignment="1">
      <alignment horizontal="left" vertical="top"/>
    </xf>
    <xf numFmtId="2" fontId="19" fillId="0" borderId="120" xfId="2" applyNumberFormat="1" applyFont="1" applyBorder="1" applyAlignment="1">
      <alignment horizontal="left" vertical="top"/>
    </xf>
    <xf numFmtId="0" fontId="11" fillId="0" borderId="121" xfId="2" applyFont="1" applyBorder="1" applyAlignment="1">
      <alignment horizontal="left" vertical="top" wrapText="1"/>
    </xf>
    <xf numFmtId="3" fontId="11" fillId="0" borderId="122" xfId="2" applyNumberFormat="1" applyFont="1" applyBorder="1" applyAlignment="1">
      <alignment horizontal="right" vertical="top" wrapText="1"/>
    </xf>
    <xf numFmtId="3" fontId="11" fillId="0" borderId="123" xfId="2" applyNumberFormat="1" applyFont="1" applyBorder="1" applyAlignment="1">
      <alignment horizontal="right" vertical="top" wrapText="1"/>
    </xf>
    <xf numFmtId="164" fontId="23" fillId="0" borderId="123" xfId="2" applyNumberFormat="1" applyFont="1" applyBorder="1" applyAlignment="1">
      <alignment horizontal="right" vertical="top"/>
    </xf>
    <xf numFmtId="3" fontId="11" fillId="0" borderId="123" xfId="2" applyNumberFormat="1" applyFont="1" applyBorder="1" applyAlignment="1">
      <alignment horizontal="center" vertical="top" wrapText="1"/>
    </xf>
    <xf numFmtId="3" fontId="11" fillId="0" borderId="124" xfId="2" applyNumberFormat="1" applyFont="1" applyBorder="1" applyAlignment="1">
      <alignment horizontal="center" vertical="top" wrapText="1"/>
    </xf>
    <xf numFmtId="0" fontId="10" fillId="2" borderId="75" xfId="2" applyFont="1" applyFill="1" applyBorder="1" applyAlignment="1">
      <alignment vertical="top"/>
    </xf>
    <xf numFmtId="164" fontId="13" fillId="2" borderId="125" xfId="2" applyNumberFormat="1" applyFont="1" applyFill="1" applyBorder="1" applyAlignment="1">
      <alignment horizontal="left" vertical="top"/>
    </xf>
    <xf numFmtId="0" fontId="10" fillId="2" borderId="126" xfId="2" applyFont="1" applyFill="1" applyBorder="1" applyAlignment="1">
      <alignment vertical="top"/>
    </xf>
    <xf numFmtId="0" fontId="10" fillId="2" borderId="127" xfId="2" applyFont="1" applyFill="1" applyBorder="1" applyAlignment="1">
      <alignment vertical="top"/>
    </xf>
    <xf numFmtId="0" fontId="11" fillId="2" borderId="125" xfId="2" applyFont="1" applyFill="1" applyBorder="1" applyAlignment="1">
      <alignment horizontal="right" vertical="top"/>
    </xf>
    <xf numFmtId="164" fontId="10" fillId="2" borderId="125" xfId="2" applyNumberFormat="1" applyFont="1" applyFill="1" applyBorder="1" applyAlignment="1">
      <alignment horizontal="left" vertical="top"/>
    </xf>
    <xf numFmtId="0" fontId="10" fillId="2" borderId="128" xfId="2" applyFont="1" applyFill="1" applyBorder="1" applyAlignment="1">
      <alignment vertical="top"/>
    </xf>
    <xf numFmtId="0" fontId="10" fillId="2" borderId="129" xfId="2" applyFont="1" applyFill="1" applyBorder="1" applyAlignment="1">
      <alignment vertical="top"/>
    </xf>
    <xf numFmtId="3" fontId="14" fillId="2" borderId="130" xfId="2" applyNumberFormat="1" applyFont="1" applyFill="1" applyBorder="1" applyAlignment="1">
      <alignment horizontal="right" vertical="top"/>
    </xf>
    <xf numFmtId="164" fontId="13" fillId="2" borderId="130" xfId="2" applyNumberFormat="1" applyFont="1" applyFill="1" applyBorder="1" applyAlignment="1">
      <alignment horizontal="left" vertical="top"/>
    </xf>
    <xf numFmtId="14" fontId="15" fillId="2" borderId="130" xfId="2" applyNumberFormat="1" applyFont="1" applyFill="1" applyBorder="1" applyAlignment="1">
      <alignment horizontal="center" vertical="top"/>
    </xf>
    <xf numFmtId="164" fontId="14" fillId="2" borderId="130" xfId="2" applyNumberFormat="1" applyFont="1" applyFill="1" applyBorder="1" applyAlignment="1">
      <alignment horizontal="center" vertical="top"/>
    </xf>
    <xf numFmtId="164" fontId="14" fillId="2" borderId="131" xfId="2" applyNumberFormat="1" applyFont="1" applyFill="1" applyBorder="1" applyAlignment="1">
      <alignment horizontal="center" vertical="top"/>
    </xf>
    <xf numFmtId="164" fontId="16" fillId="5" borderId="110" xfId="2" applyNumberFormat="1" applyFont="1" applyFill="1" applyBorder="1" applyAlignment="1">
      <alignment horizontal="left" vertical="top"/>
    </xf>
    <xf numFmtId="164" fontId="16" fillId="5" borderId="111" xfId="2" applyNumberFormat="1" applyFont="1" applyFill="1" applyBorder="1" applyAlignment="1">
      <alignment horizontal="left" vertical="top"/>
    </xf>
    <xf numFmtId="164" fontId="17" fillId="5" borderId="111" xfId="2" applyNumberFormat="1" applyFont="1" applyFill="1" applyBorder="1" applyAlignment="1">
      <alignment horizontal="center" vertical="top" wrapText="1"/>
    </xf>
    <xf numFmtId="164" fontId="17" fillId="5" borderId="113" xfId="2" applyNumberFormat="1" applyFont="1" applyFill="1" applyBorder="1" applyAlignment="1">
      <alignment horizontal="center" vertical="top" wrapText="1"/>
    </xf>
    <xf numFmtId="2" fontId="24" fillId="0" borderId="110" xfId="1" applyNumberFormat="1" applyFont="1" applyBorder="1" applyAlignment="1">
      <alignment horizontal="left" vertical="top"/>
    </xf>
    <xf numFmtId="2" fontId="24" fillId="0" borderId="111" xfId="1" applyNumberFormat="1" applyFont="1" applyBorder="1" applyAlignment="1">
      <alignment horizontal="left" vertical="top"/>
    </xf>
    <xf numFmtId="0" fontId="10" fillId="0" borderId="111" xfId="1" applyFont="1" applyBorder="1" applyAlignment="1">
      <alignment vertical="center"/>
    </xf>
    <xf numFmtId="0" fontId="25" fillId="0" borderId="111" xfId="1" applyFont="1" applyBorder="1" applyAlignment="1">
      <alignment horizontal="center" vertical="top"/>
    </xf>
    <xf numFmtId="3" fontId="21" fillId="0" borderId="112" xfId="1" applyNumberFormat="1" applyFont="1" applyBorder="1" applyAlignment="1">
      <alignment horizontal="center" vertical="center" wrapText="1"/>
    </xf>
    <xf numFmtId="0" fontId="21" fillId="0" borderId="132" xfId="1" applyFont="1" applyBorder="1" applyAlignment="1">
      <alignment horizontal="left" vertical="top" wrapText="1"/>
    </xf>
    <xf numFmtId="0" fontId="21" fillId="0" borderId="111" xfId="2" applyFont="1" applyBorder="1" applyAlignment="1">
      <alignment vertical="top"/>
    </xf>
    <xf numFmtId="0" fontId="21" fillId="0" borderId="111" xfId="2" applyFont="1" applyBorder="1" applyAlignment="1">
      <alignment horizontal="center"/>
    </xf>
    <xf numFmtId="3" fontId="15" fillId="0" borderId="112" xfId="2" applyNumberFormat="1" applyFont="1" applyBorder="1" applyAlignment="1">
      <alignment horizontal="center" vertical="top" wrapText="1"/>
    </xf>
    <xf numFmtId="0" fontId="22" fillId="0" borderId="56" xfId="2" applyFont="1" applyBorder="1" applyAlignment="1">
      <alignment horizontal="center" vertical="top"/>
    </xf>
    <xf numFmtId="0" fontId="22" fillId="0" borderId="112" xfId="2" applyFont="1" applyBorder="1" applyAlignment="1">
      <alignment horizontal="center" vertical="top"/>
    </xf>
    <xf numFmtId="2" fontId="19" fillId="0" borderId="133" xfId="2" applyNumberFormat="1" applyFont="1" applyBorder="1" applyAlignment="1">
      <alignment horizontal="left" vertical="top"/>
    </xf>
    <xf numFmtId="2" fontId="19" fillId="0" borderId="129" xfId="2" applyNumberFormat="1" applyFont="1" applyBorder="1" applyAlignment="1">
      <alignment horizontal="left" vertical="top"/>
    </xf>
    <xf numFmtId="0" fontId="11" fillId="0" borderId="134" xfId="2" applyFont="1" applyBorder="1" applyAlignment="1">
      <alignment horizontal="left" vertical="top" wrapText="1"/>
    </xf>
    <xf numFmtId="3" fontId="11" fillId="0" borderId="129" xfId="2" applyNumberFormat="1" applyFont="1" applyBorder="1" applyAlignment="1">
      <alignment horizontal="right" vertical="top" wrapText="1"/>
    </xf>
    <xf numFmtId="3" fontId="11" fillId="0" borderId="135" xfId="2" applyNumberFormat="1" applyFont="1" applyBorder="1" applyAlignment="1">
      <alignment horizontal="right" vertical="top" wrapText="1"/>
    </xf>
    <xf numFmtId="3" fontId="11" fillId="0" borderId="135" xfId="2" applyNumberFormat="1" applyFont="1" applyBorder="1" applyAlignment="1">
      <alignment horizontal="center" vertical="top" wrapText="1"/>
    </xf>
    <xf numFmtId="3" fontId="10" fillId="0" borderId="136" xfId="2" applyNumberFormat="1" applyFont="1" applyBorder="1" applyAlignment="1">
      <alignment horizontal="left" vertical="top" wrapText="1"/>
    </xf>
    <xf numFmtId="2" fontId="19" fillId="0" borderId="110" xfId="2" applyNumberFormat="1" applyFont="1" applyBorder="1" applyAlignment="1">
      <alignment horizontal="left"/>
    </xf>
    <xf numFmtId="2" fontId="19" fillId="0" borderId="111" xfId="2" applyNumberFormat="1" applyFont="1" applyBorder="1" applyAlignment="1">
      <alignment horizontal="left"/>
    </xf>
    <xf numFmtId="0" fontId="21" fillId="0" borderId="111" xfId="2" applyFont="1" applyBorder="1" applyAlignment="1">
      <alignment horizontal="center" vertical="top"/>
    </xf>
    <xf numFmtId="0" fontId="10" fillId="0" borderId="111" xfId="2" applyFont="1" applyBorder="1" applyAlignment="1">
      <alignment horizontal="center" vertical="top"/>
    </xf>
    <xf numFmtId="0" fontId="10" fillId="2" borderId="112" xfId="2" applyFont="1" applyFill="1" applyBorder="1" applyAlignment="1">
      <alignment horizontal="center" vertical="top"/>
    </xf>
    <xf numFmtId="0" fontId="13" fillId="2" borderId="112" xfId="2" applyFont="1" applyFill="1" applyBorder="1" applyAlignment="1">
      <alignment horizontal="center" vertical="top"/>
    </xf>
    <xf numFmtId="0" fontId="10" fillId="0" borderId="111" xfId="2" applyFont="1" applyBorder="1" applyAlignment="1">
      <alignment horizontal="left" vertical="center"/>
    </xf>
    <xf numFmtId="0" fontId="13" fillId="0" borderId="112" xfId="2" applyFont="1" applyBorder="1" applyAlignment="1">
      <alignment horizontal="center" vertical="center"/>
    </xf>
    <xf numFmtId="0" fontId="10" fillId="0" borderId="112" xfId="2" applyFont="1" applyBorder="1" applyAlignment="1">
      <alignment horizontal="center" vertical="center"/>
    </xf>
    <xf numFmtId="0" fontId="22" fillId="0" borderId="112" xfId="2" applyFont="1" applyBorder="1" applyAlignment="1">
      <alignment horizontal="center" vertical="center"/>
    </xf>
    <xf numFmtId="0" fontId="21" fillId="0" borderId="112" xfId="2" applyFont="1" applyBorder="1" applyAlignment="1">
      <alignment horizontal="center" vertical="center"/>
    </xf>
    <xf numFmtId="3" fontId="21" fillId="0" borderId="112" xfId="2" applyNumberFormat="1" applyFont="1" applyBorder="1" applyAlignment="1">
      <alignment horizontal="center" vertical="center"/>
    </xf>
    <xf numFmtId="2" fontId="19" fillId="0" borderId="137" xfId="2" applyNumberFormat="1" applyFont="1" applyBorder="1" applyAlignment="1">
      <alignment horizontal="left" vertical="top"/>
    </xf>
    <xf numFmtId="2" fontId="19" fillId="0" borderId="138" xfId="2" applyNumberFormat="1" applyFont="1" applyBorder="1" applyAlignment="1">
      <alignment horizontal="left" vertical="top"/>
    </xf>
    <xf numFmtId="0" fontId="11" fillId="0" borderId="139" xfId="2" applyFont="1" applyBorder="1" applyAlignment="1">
      <alignment horizontal="left" vertical="top" wrapText="1"/>
    </xf>
    <xf numFmtId="3" fontId="11" fillId="0" borderId="138" xfId="2" applyNumberFormat="1" applyFont="1" applyBorder="1" applyAlignment="1">
      <alignment horizontal="right" vertical="top" wrapText="1"/>
    </xf>
    <xf numFmtId="3" fontId="11" fillId="0" borderId="140" xfId="2" applyNumberFormat="1" applyFont="1" applyBorder="1" applyAlignment="1">
      <alignment horizontal="right" vertical="top" wrapText="1"/>
    </xf>
    <xf numFmtId="3" fontId="11" fillId="0" borderId="140" xfId="2" applyNumberFormat="1" applyFont="1" applyBorder="1" applyAlignment="1">
      <alignment horizontal="center" vertical="top" wrapText="1"/>
    </xf>
    <xf numFmtId="3" fontId="10" fillId="0" borderId="141" xfId="2" applyNumberFormat="1" applyFont="1" applyBorder="1" applyAlignment="1">
      <alignment horizontal="left" vertical="top" wrapText="1"/>
    </xf>
    <xf numFmtId="0" fontId="18" fillId="6" borderId="48" xfId="2" applyFont="1" applyFill="1" applyBorder="1" applyAlignment="1">
      <alignment horizontal="left" vertical="top"/>
    </xf>
    <xf numFmtId="0" fontId="19" fillId="6" borderId="86" xfId="2" applyFont="1" applyFill="1" applyBorder="1" applyAlignment="1">
      <alignment horizontal="left" vertical="top"/>
    </xf>
    <xf numFmtId="0" fontId="11" fillId="7" borderId="86" xfId="2" applyFont="1" applyFill="1" applyBorder="1" applyAlignment="1">
      <alignment horizontal="left" vertical="top"/>
    </xf>
    <xf numFmtId="2" fontId="11" fillId="7" borderId="86" xfId="2" applyNumberFormat="1" applyFont="1" applyFill="1" applyBorder="1" applyAlignment="1">
      <alignment vertical="top"/>
    </xf>
    <xf numFmtId="164" fontId="11" fillId="7" borderId="86" xfId="2" applyNumberFormat="1" applyFont="1" applyFill="1" applyBorder="1" applyAlignment="1">
      <alignment vertical="top"/>
    </xf>
    <xf numFmtId="164" fontId="10" fillId="7" borderId="49" xfId="2" applyNumberFormat="1" applyFont="1" applyFill="1" applyBorder="1" applyAlignment="1">
      <alignment horizontal="left" vertical="top"/>
    </xf>
    <xf numFmtId="3" fontId="13" fillId="0" borderId="29" xfId="2" applyNumberFormat="1" applyFont="1" applyBorder="1" applyAlignment="1">
      <alignment horizontal="center" vertical="top"/>
    </xf>
    <xf numFmtId="0" fontId="13" fillId="0" borderId="28" xfId="2" applyFont="1" applyBorder="1" applyAlignment="1">
      <alignment horizontal="left" vertical="top"/>
    </xf>
    <xf numFmtId="0" fontId="21" fillId="0" borderId="28" xfId="2" applyFont="1" applyBorder="1" applyAlignment="1">
      <alignment horizontal="left" vertical="top"/>
    </xf>
    <xf numFmtId="3" fontId="13" fillId="0" borderId="28" xfId="2" applyNumberFormat="1" applyFont="1" applyBorder="1" applyAlignment="1">
      <alignment horizontal="left" vertical="top" wrapText="1"/>
    </xf>
    <xf numFmtId="0" fontId="21" fillId="2" borderId="29" xfId="2" applyFont="1" applyFill="1" applyBorder="1" applyAlignment="1">
      <alignment horizontal="center" vertical="top"/>
    </xf>
    <xf numFmtId="3" fontId="10" fillId="2" borderId="28" xfId="2" applyNumberFormat="1" applyFont="1" applyFill="1" applyBorder="1" applyAlignment="1">
      <alignment horizontal="left" vertical="top" wrapText="1"/>
    </xf>
    <xf numFmtId="3" fontId="21" fillId="2" borderId="28" xfId="2" applyNumberFormat="1" applyFont="1" applyFill="1" applyBorder="1" applyAlignment="1">
      <alignment horizontal="left" vertical="top" wrapText="1"/>
    </xf>
    <xf numFmtId="0" fontId="11" fillId="0" borderId="142" xfId="2" applyFont="1" applyBorder="1" applyAlignment="1">
      <alignment horizontal="left" vertical="top" wrapText="1"/>
    </xf>
    <xf numFmtId="3" fontId="11" fillId="0" borderId="143" xfId="2" applyNumberFormat="1" applyFont="1" applyBorder="1" applyAlignment="1">
      <alignment horizontal="right" vertical="top" wrapText="1"/>
    </xf>
    <xf numFmtId="3" fontId="11" fillId="0" borderId="144" xfId="2" applyNumberFormat="1" applyFont="1" applyBorder="1" applyAlignment="1">
      <alignment horizontal="right" vertical="top" wrapText="1"/>
    </xf>
    <xf numFmtId="3" fontId="11" fillId="0" borderId="144" xfId="2" applyNumberFormat="1" applyFont="1" applyBorder="1" applyAlignment="1">
      <alignment horizontal="center" vertical="top" wrapText="1"/>
    </xf>
    <xf numFmtId="3" fontId="10" fillId="0" borderId="145" xfId="2" applyNumberFormat="1" applyFont="1" applyBorder="1" applyAlignment="1">
      <alignment horizontal="left" vertical="top" wrapText="1"/>
    </xf>
    <xf numFmtId="164" fontId="13" fillId="7" borderId="49" xfId="2" applyNumberFormat="1" applyFont="1" applyFill="1" applyBorder="1" applyAlignment="1">
      <alignment horizontal="left" vertical="top" wrapText="1"/>
    </xf>
    <xf numFmtId="3" fontId="21" fillId="0" borderId="29" xfId="2" applyNumberFormat="1" applyFont="1" applyBorder="1" applyAlignment="1">
      <alignment horizontal="center" vertical="top" wrapText="1"/>
    </xf>
    <xf numFmtId="0" fontId="10" fillId="0" borderId="29" xfId="1" applyFont="1" applyBorder="1" applyAlignment="1">
      <alignment horizontal="center" vertical="center"/>
    </xf>
    <xf numFmtId="0" fontId="21" fillId="0" borderId="28" xfId="1" applyFont="1" applyBorder="1" applyAlignment="1">
      <alignment horizontal="left" vertical="top" wrapText="1"/>
    </xf>
    <xf numFmtId="3" fontId="11" fillId="0" borderId="146" xfId="2" applyNumberFormat="1" applyFont="1" applyBorder="1" applyAlignment="1">
      <alignment horizontal="right" vertical="top" wrapText="1"/>
    </xf>
    <xf numFmtId="3" fontId="11" fillId="0" borderId="147" xfId="2" applyNumberFormat="1" applyFont="1" applyBorder="1" applyAlignment="1">
      <alignment horizontal="center" vertical="top" wrapText="1"/>
    </xf>
    <xf numFmtId="1" fontId="28" fillId="4" borderId="48" xfId="1" applyNumberFormat="1" applyFont="1" applyFill="1" applyBorder="1" applyAlignment="1">
      <alignment horizontal="center" wrapText="1"/>
    </xf>
    <xf numFmtId="1" fontId="28" fillId="4" borderId="86" xfId="1" applyNumberFormat="1" applyFont="1" applyFill="1" applyBorder="1" applyAlignment="1">
      <alignment horizontal="center" wrapText="1"/>
    </xf>
    <xf numFmtId="1" fontId="28" fillId="4" borderId="49" xfId="1" applyNumberFormat="1" applyFont="1" applyFill="1" applyBorder="1" applyAlignment="1">
      <alignment horizontal="center" wrapText="1"/>
    </xf>
    <xf numFmtId="0" fontId="4" fillId="0" borderId="30" xfId="1" applyFont="1" applyBorder="1" applyAlignment="1">
      <alignment vertical="top"/>
    </xf>
    <xf numFmtId="0" fontId="4" fillId="0" borderId="70" xfId="1" applyFont="1" applyBorder="1" applyAlignment="1">
      <alignment vertical="top"/>
    </xf>
    <xf numFmtId="0" fontId="4" fillId="0" borderId="126" xfId="1" applyFont="1" applyBorder="1" applyAlignment="1">
      <alignment vertical="top"/>
    </xf>
    <xf numFmtId="0" fontId="4" fillId="0" borderId="127" xfId="1" applyFont="1" applyBorder="1" applyAlignment="1">
      <alignment vertical="top"/>
    </xf>
    <xf numFmtId="0" fontId="4" fillId="0" borderId="128" xfId="1" applyFont="1" applyBorder="1" applyAlignment="1">
      <alignment vertical="top"/>
    </xf>
    <xf numFmtId="0" fontId="4" fillId="0" borderId="143" xfId="1" applyFont="1" applyBorder="1" applyAlignment="1">
      <alignment vertical="top"/>
    </xf>
    <xf numFmtId="0" fontId="20" fillId="0" borderId="125" xfId="1" applyFont="1" applyBorder="1" applyAlignment="1">
      <alignment horizontal="right" vertical="top"/>
    </xf>
    <xf numFmtId="164" fontId="27" fillId="5" borderId="110" xfId="1" applyNumberFormat="1" applyFont="1" applyFill="1" applyBorder="1" applyAlignment="1">
      <alignment horizontal="left" vertical="top"/>
    </xf>
    <xf numFmtId="164" fontId="27" fillId="5" borderId="111" xfId="1" applyNumberFormat="1" applyFont="1" applyFill="1" applyBorder="1" applyAlignment="1">
      <alignment horizontal="left" vertical="top"/>
    </xf>
    <xf numFmtId="164" fontId="33" fillId="5" borderId="111" xfId="1" applyNumberFormat="1" applyFont="1" applyFill="1" applyBorder="1" applyAlignment="1">
      <alignment horizontal="center" vertical="top"/>
    </xf>
    <xf numFmtId="164" fontId="33" fillId="5" borderId="113" xfId="1" applyNumberFormat="1" applyFont="1" applyFill="1" applyBorder="1" applyAlignment="1">
      <alignment horizontal="center" vertical="top"/>
    </xf>
    <xf numFmtId="0" fontId="18" fillId="6" borderId="54" xfId="1" applyFont="1" applyFill="1" applyBorder="1" applyAlignment="1">
      <alignment horizontal="left" vertical="top"/>
    </xf>
    <xf numFmtId="0" fontId="20" fillId="7" borderId="25" xfId="1" applyFont="1" applyFill="1" applyBorder="1" applyAlignment="1">
      <alignment vertical="top" wrapText="1"/>
    </xf>
    <xf numFmtId="2" fontId="24" fillId="0" borderId="148" xfId="1" applyNumberFormat="1" applyFont="1" applyBorder="1" applyAlignment="1">
      <alignment horizontal="left" vertical="top"/>
    </xf>
    <xf numFmtId="2" fontId="24" fillId="0" borderId="112" xfId="1" applyNumberFormat="1" applyFont="1" applyBorder="1" applyAlignment="1">
      <alignment horizontal="left" vertical="top"/>
    </xf>
    <xf numFmtId="3" fontId="20" fillId="0" borderId="111" xfId="1" applyNumberFormat="1" applyFont="1" applyBorder="1" applyAlignment="1">
      <alignment horizontal="center" vertical="top" wrapText="1"/>
    </xf>
    <xf numFmtId="0" fontId="4" fillId="0" borderId="112" xfId="1" applyFont="1" applyBorder="1" applyAlignment="1">
      <alignment horizontal="center"/>
    </xf>
    <xf numFmtId="3" fontId="4" fillId="0" borderId="112" xfId="1" applyNumberFormat="1" applyFont="1" applyBorder="1" applyAlignment="1">
      <alignment horizontal="center"/>
    </xf>
    <xf numFmtId="3" fontId="4" fillId="0" borderId="112" xfId="1" applyNumberFormat="1" applyFont="1" applyBorder="1" applyAlignment="1">
      <alignment horizontal="center" vertical="top" wrapText="1"/>
    </xf>
    <xf numFmtId="0" fontId="21" fillId="0" borderId="113" xfId="1" applyFont="1" applyBorder="1" applyAlignment="1">
      <alignment horizontal="left" vertical="top" wrapText="1"/>
    </xf>
    <xf numFmtId="0" fontId="21" fillId="0" borderId="112" xfId="1" applyFont="1" applyBorder="1" applyAlignment="1">
      <alignment horizontal="center" vertical="center"/>
    </xf>
    <xf numFmtId="165" fontId="24" fillId="0" borderId="148" xfId="1" applyNumberFormat="1" applyFont="1" applyBorder="1" applyAlignment="1">
      <alignment horizontal="left" vertical="top"/>
    </xf>
    <xf numFmtId="165" fontId="24" fillId="0" borderId="112" xfId="1" applyNumberFormat="1" applyFont="1" applyBorder="1" applyAlignment="1">
      <alignment horizontal="left" vertical="top"/>
    </xf>
    <xf numFmtId="0" fontId="10" fillId="0" borderId="111" xfId="1" applyFont="1" applyBorder="1" applyAlignment="1">
      <alignment horizontal="left" vertical="top"/>
    </xf>
    <xf numFmtId="2" fontId="34" fillId="0" borderId="149" xfId="1" applyNumberFormat="1" applyFont="1" applyBorder="1" applyAlignment="1">
      <alignment horizontal="left" vertical="top"/>
    </xf>
    <xf numFmtId="2" fontId="34" fillId="0" borderId="150" xfId="1" applyNumberFormat="1" applyFont="1" applyBorder="1" applyAlignment="1">
      <alignment horizontal="left" vertical="top"/>
    </xf>
    <xf numFmtId="0" fontId="34" fillId="0" borderId="151" xfId="1" applyFont="1" applyBorder="1" applyAlignment="1">
      <alignment horizontal="left" vertical="top" wrapText="1"/>
    </xf>
    <xf numFmtId="4" fontId="34" fillId="0" borderId="152" xfId="1" applyNumberFormat="1" applyFont="1" applyBorder="1" applyAlignment="1">
      <alignment horizontal="center" vertical="top" wrapText="1"/>
    </xf>
    <xf numFmtId="3" fontId="34" fillId="0" borderId="152" xfId="1" applyNumberFormat="1" applyFont="1" applyBorder="1" applyAlignment="1">
      <alignment horizontal="right" vertical="top" wrapText="1"/>
    </xf>
    <xf numFmtId="164" fontId="23" fillId="0" borderId="152" xfId="1" applyNumberFormat="1" applyFont="1" applyBorder="1" applyAlignment="1">
      <alignment horizontal="right" vertical="top"/>
    </xf>
    <xf numFmtId="4" fontId="15" fillId="0" borderId="152" xfId="1" applyNumberFormat="1" applyFont="1" applyBorder="1" applyAlignment="1">
      <alignment horizontal="center" vertical="center" wrapText="1"/>
    </xf>
    <xf numFmtId="0" fontId="34" fillId="0" borderId="153" xfId="1" applyFont="1" applyBorder="1" applyAlignment="1">
      <alignment vertical="top" wrapText="1"/>
    </xf>
    <xf numFmtId="2" fontId="34" fillId="0" borderId="154" xfId="1" applyNumberFormat="1" applyFont="1" applyBorder="1" applyAlignment="1">
      <alignment horizontal="left" vertical="top"/>
    </xf>
    <xf numFmtId="2" fontId="34" fillId="0" borderId="155" xfId="1" applyNumberFormat="1" applyFont="1" applyBorder="1" applyAlignment="1">
      <alignment horizontal="left" vertical="top"/>
    </xf>
    <xf numFmtId="0" fontId="34" fillId="0" borderId="156" xfId="1" applyFont="1" applyBorder="1" applyAlignment="1">
      <alignment horizontal="left" vertical="top" wrapText="1"/>
    </xf>
    <xf numFmtId="3" fontId="34" fillId="0" borderId="157" xfId="1" applyNumberFormat="1" applyFont="1" applyBorder="1" applyAlignment="1">
      <alignment horizontal="center" vertical="top" wrapText="1"/>
    </xf>
    <xf numFmtId="3" fontId="34" fillId="0" borderId="157" xfId="1" applyNumberFormat="1" applyFont="1" applyBorder="1" applyAlignment="1">
      <alignment horizontal="right" vertical="top" wrapText="1"/>
    </xf>
    <xf numFmtId="164" fontId="23" fillId="0" borderId="157" xfId="1" applyNumberFormat="1" applyFont="1" applyBorder="1" applyAlignment="1">
      <alignment horizontal="right" vertical="top"/>
    </xf>
    <xf numFmtId="0" fontId="34" fillId="0" borderId="158" xfId="1" applyFont="1" applyBorder="1" applyAlignment="1">
      <alignment vertical="top" wrapText="1"/>
    </xf>
    <xf numFmtId="0" fontId="18" fillId="6" borderId="159" xfId="1" applyFont="1" applyFill="1" applyBorder="1" applyAlignment="1">
      <alignment horizontal="left" vertical="top"/>
    </xf>
    <xf numFmtId="0" fontId="19" fillId="6" borderId="160" xfId="1" applyFont="1" applyFill="1" applyBorder="1" applyAlignment="1">
      <alignment horizontal="left" vertical="top"/>
    </xf>
    <xf numFmtId="0" fontId="20" fillId="7" borderId="160" xfId="1" applyFont="1" applyFill="1" applyBorder="1" applyAlignment="1">
      <alignment vertical="top"/>
    </xf>
    <xf numFmtId="164" fontId="20" fillId="7" borderId="160" xfId="1" applyNumberFormat="1" applyFont="1" applyFill="1" applyBorder="1" applyAlignment="1">
      <alignment vertical="top"/>
    </xf>
    <xf numFmtId="2" fontId="20" fillId="7" borderId="160" xfId="1" applyNumberFormat="1" applyFont="1" applyFill="1" applyBorder="1" applyAlignment="1">
      <alignment vertical="top"/>
    </xf>
    <xf numFmtId="0" fontId="20" fillId="7" borderId="161" xfId="1" applyFont="1" applyFill="1" applyBorder="1" applyAlignment="1">
      <alignment vertical="top" wrapText="1"/>
    </xf>
    <xf numFmtId="0" fontId="10" fillId="0" borderId="112" xfId="1" applyFont="1" applyBorder="1" applyAlignment="1">
      <alignment horizontal="center" vertical="center"/>
    </xf>
    <xf numFmtId="3" fontId="10" fillId="0" borderId="112" xfId="1" applyNumberFormat="1" applyFont="1" applyBorder="1" applyAlignment="1">
      <alignment horizontal="center" vertical="center" wrapText="1"/>
    </xf>
    <xf numFmtId="4" fontId="34" fillId="0" borderId="77" xfId="1" applyNumberFormat="1" applyFont="1" applyBorder="1" applyAlignment="1">
      <alignment horizontal="center" vertical="top" wrapText="1"/>
    </xf>
    <xf numFmtId="164" fontId="23" fillId="0" borderId="78" xfId="1" applyNumberFormat="1" applyFont="1" applyBorder="1" applyAlignment="1">
      <alignment horizontal="right" vertical="center"/>
    </xf>
    <xf numFmtId="2" fontId="34" fillId="0" borderId="137" xfId="1" applyNumberFormat="1" applyFont="1" applyBorder="1" applyAlignment="1">
      <alignment horizontal="left" vertical="top"/>
    </xf>
    <xf numFmtId="2" fontId="34" fillId="0" borderId="138" xfId="1" applyNumberFormat="1" applyFont="1" applyBorder="1" applyAlignment="1">
      <alignment horizontal="left" vertical="top"/>
    </xf>
    <xf numFmtId="0" fontId="34" fillId="0" borderId="139" xfId="1" applyFont="1" applyBorder="1" applyAlignment="1">
      <alignment horizontal="left" vertical="top" wrapText="1"/>
    </xf>
    <xf numFmtId="3" fontId="34" fillId="0" borderId="139" xfId="1" applyNumberFormat="1" applyFont="1" applyBorder="1" applyAlignment="1">
      <alignment horizontal="center" vertical="top" wrapText="1"/>
    </xf>
    <xf numFmtId="3" fontId="34" fillId="0" borderId="140" xfId="1" applyNumberFormat="1" applyFont="1" applyBorder="1" applyAlignment="1">
      <alignment horizontal="right" vertical="top" wrapText="1"/>
    </xf>
    <xf numFmtId="164" fontId="23" fillId="0" borderId="135" xfId="1" applyNumberFormat="1" applyFont="1" applyBorder="1" applyAlignment="1">
      <alignment horizontal="right" vertical="center"/>
    </xf>
    <xf numFmtId="0" fontId="34" fillId="0" borderId="162" xfId="1" applyFont="1" applyBorder="1" applyAlignment="1">
      <alignment vertical="top" wrapText="1"/>
    </xf>
    <xf numFmtId="2" fontId="34" fillId="0" borderId="163" xfId="1" applyNumberFormat="1" applyFont="1" applyBorder="1" applyAlignment="1">
      <alignment horizontal="left" vertical="top"/>
    </xf>
    <xf numFmtId="2" fontId="34" fillId="0" borderId="46" xfId="1" applyNumberFormat="1" applyFont="1" applyBorder="1" applyAlignment="1">
      <alignment horizontal="left" vertical="top"/>
    </xf>
    <xf numFmtId="0" fontId="34" fillId="0" borderId="142" xfId="1" applyFont="1" applyBorder="1" applyAlignment="1">
      <alignment horizontal="left" vertical="top" wrapText="1"/>
    </xf>
    <xf numFmtId="3" fontId="34" fillId="0" borderId="142" xfId="1" applyNumberFormat="1" applyFont="1" applyBorder="1" applyAlignment="1">
      <alignment horizontal="center" vertical="top" wrapText="1"/>
    </xf>
    <xf numFmtId="3" fontId="34" fillId="0" borderId="144" xfId="1" applyNumberFormat="1" applyFont="1" applyBorder="1" applyAlignment="1">
      <alignment horizontal="right" vertical="top" wrapText="1"/>
    </xf>
    <xf numFmtId="164" fontId="23" fillId="0" borderId="144" xfId="1" applyNumberFormat="1" applyFont="1" applyBorder="1" applyAlignment="1">
      <alignment horizontal="right" vertical="center"/>
    </xf>
    <xf numFmtId="3" fontId="15" fillId="0" borderId="144" xfId="1" applyNumberFormat="1" applyFont="1" applyBorder="1" applyAlignment="1">
      <alignment horizontal="center" vertical="center" wrapText="1"/>
    </xf>
    <xf numFmtId="0" fontId="34" fillId="0" borderId="164" xfId="1" applyFont="1" applyBorder="1" applyAlignment="1">
      <alignment vertical="top" wrapText="1"/>
    </xf>
    <xf numFmtId="0" fontId="25" fillId="0" borderId="27" xfId="1" applyFont="1" applyBorder="1" applyAlignment="1">
      <alignment horizontal="center" vertical="top"/>
    </xf>
    <xf numFmtId="2" fontId="19" fillId="0" borderId="26" xfId="1" applyNumberFormat="1" applyFont="1" applyBorder="1" applyAlignment="1">
      <alignment horizontal="left" vertical="top"/>
    </xf>
    <xf numFmtId="2" fontId="19" fillId="0" borderId="27" xfId="1" applyNumberFormat="1" applyFont="1" applyBorder="1" applyAlignment="1">
      <alignment horizontal="left" vertical="top"/>
    </xf>
    <xf numFmtId="0" fontId="21" fillId="0" borderId="27" xfId="1" applyFont="1" applyBorder="1" applyAlignment="1">
      <alignment horizontal="left" vertical="top"/>
    </xf>
    <xf numFmtId="0" fontId="10" fillId="0" borderId="27" xfId="1" applyFont="1" applyBorder="1" applyAlignment="1">
      <alignment horizontal="center"/>
    </xf>
    <xf numFmtId="0" fontId="10" fillId="0" borderId="29" xfId="1" applyFont="1" applyBorder="1" applyAlignment="1">
      <alignment horizontal="center" vertical="top"/>
    </xf>
    <xf numFmtId="3" fontId="21" fillId="0" borderId="29" xfId="1" applyNumberFormat="1" applyFont="1" applyBorder="1" applyAlignment="1">
      <alignment horizontal="center" vertical="top"/>
    </xf>
    <xf numFmtId="3" fontId="10" fillId="0" borderId="29" xfId="1" applyNumberFormat="1" applyFont="1" applyBorder="1" applyAlignment="1">
      <alignment horizontal="center" vertical="top" wrapText="1"/>
    </xf>
    <xf numFmtId="0" fontId="11" fillId="7" borderId="86" xfId="1" applyFont="1" applyFill="1" applyBorder="1" applyAlignment="1">
      <alignment horizontal="left" vertical="top"/>
    </xf>
    <xf numFmtId="2" fontId="11" fillId="7" borderId="86" xfId="1" applyNumberFormat="1" applyFont="1" applyFill="1" applyBorder="1" applyAlignment="1">
      <alignment vertical="top"/>
    </xf>
    <xf numFmtId="164" fontId="11" fillId="7" borderId="86" xfId="1" applyNumberFormat="1" applyFont="1" applyFill="1" applyBorder="1" applyAlignment="1">
      <alignment vertical="top"/>
    </xf>
    <xf numFmtId="164" fontId="13" fillId="7" borderId="49" xfId="1" applyNumberFormat="1" applyFont="1" applyFill="1" applyBorder="1" applyAlignment="1">
      <alignment horizontal="left" vertical="top" wrapText="1"/>
    </xf>
    <xf numFmtId="3" fontId="10" fillId="2" borderId="28" xfId="1" applyNumberFormat="1" applyFont="1" applyFill="1" applyBorder="1" applyAlignment="1">
      <alignment horizontal="left" vertical="top" wrapText="1"/>
    </xf>
    <xf numFmtId="0" fontId="11" fillId="0" borderId="77" xfId="1" applyFont="1" applyBorder="1" applyAlignment="1">
      <alignment horizontal="left" vertical="top" wrapText="1"/>
    </xf>
    <xf numFmtId="3" fontId="11" fillId="0" borderId="70" xfId="1" applyNumberFormat="1" applyFont="1" applyBorder="1" applyAlignment="1">
      <alignment horizontal="right" vertical="top" wrapText="1"/>
    </xf>
    <xf numFmtId="3" fontId="11" fillId="0" borderId="78" xfId="1" applyNumberFormat="1" applyFont="1" applyBorder="1" applyAlignment="1">
      <alignment horizontal="right" vertical="top" wrapText="1"/>
    </xf>
    <xf numFmtId="4" fontId="11" fillId="0" borderId="78" xfId="1" applyNumberFormat="1" applyFont="1" applyBorder="1" applyAlignment="1">
      <alignment horizontal="center" vertical="top" wrapText="1"/>
    </xf>
    <xf numFmtId="4" fontId="10" fillId="0" borderId="79" xfId="1" applyNumberFormat="1" applyFont="1" applyBorder="1" applyAlignment="1">
      <alignment horizontal="left" vertical="top" wrapText="1"/>
    </xf>
    <xf numFmtId="0" fontId="11" fillId="0" borderId="142" xfId="1" applyFont="1" applyBorder="1" applyAlignment="1">
      <alignment horizontal="left" vertical="top" wrapText="1"/>
    </xf>
    <xf numFmtId="3" fontId="11" fillId="0" borderId="143" xfId="1" applyNumberFormat="1" applyFont="1" applyBorder="1" applyAlignment="1">
      <alignment horizontal="right" vertical="top" wrapText="1"/>
    </xf>
    <xf numFmtId="3" fontId="11" fillId="0" borderId="144" xfId="1" applyNumberFormat="1" applyFont="1" applyBorder="1" applyAlignment="1">
      <alignment horizontal="right" vertical="top" wrapText="1"/>
    </xf>
    <xf numFmtId="3" fontId="11" fillId="0" borderId="144" xfId="1" applyNumberFormat="1" applyFont="1" applyBorder="1" applyAlignment="1">
      <alignment horizontal="center" vertical="top" wrapText="1"/>
    </xf>
    <xf numFmtId="3" fontId="10" fillId="0" borderId="145" xfId="1" applyNumberFormat="1" applyFont="1" applyBorder="1" applyAlignment="1">
      <alignment horizontal="left" vertical="top" wrapText="1"/>
    </xf>
    <xf numFmtId="164" fontId="34" fillId="0" borderId="78" xfId="1" applyNumberFormat="1" applyFont="1" applyBorder="1" applyAlignment="1">
      <alignment horizontal="right" vertical="top"/>
    </xf>
    <xf numFmtId="2" fontId="34" fillId="0" borderId="35" xfId="1" applyNumberFormat="1" applyFont="1" applyBorder="1" applyAlignment="1">
      <alignment horizontal="left" vertical="top"/>
    </xf>
    <xf numFmtId="2" fontId="34" fillId="0" borderId="36" xfId="1" applyNumberFormat="1" applyFont="1" applyBorder="1" applyAlignment="1">
      <alignment horizontal="left" vertical="top"/>
    </xf>
    <xf numFmtId="0" fontId="34" fillId="0" borderId="37" xfId="1" applyFont="1" applyBorder="1" applyAlignment="1">
      <alignment horizontal="left" vertical="top" wrapText="1"/>
    </xf>
    <xf numFmtId="3" fontId="34" fillId="0" borderId="37" xfId="1" applyNumberFormat="1" applyFont="1" applyBorder="1" applyAlignment="1">
      <alignment horizontal="center" vertical="top" wrapText="1"/>
    </xf>
    <xf numFmtId="3" fontId="34" fillId="0" borderId="38" xfId="1" applyNumberFormat="1" applyFont="1" applyBorder="1" applyAlignment="1">
      <alignment horizontal="right" vertical="top" wrapText="1"/>
    </xf>
    <xf numFmtId="164" fontId="34" fillId="0" borderId="38" xfId="1" applyNumberFormat="1" applyFont="1" applyBorder="1" applyAlignment="1">
      <alignment horizontal="right" vertical="top"/>
    </xf>
    <xf numFmtId="3" fontId="15" fillId="0" borderId="165" xfId="1" applyNumberFormat="1" applyFont="1" applyBorder="1" applyAlignment="1">
      <alignment horizontal="center" vertical="center" wrapText="1"/>
    </xf>
    <xf numFmtId="0" fontId="34" fillId="0" borderId="147" xfId="1" applyFont="1" applyBorder="1" applyAlignment="1">
      <alignment vertical="top" wrapText="1"/>
    </xf>
    <xf numFmtId="1" fontId="36" fillId="4" borderId="49" xfId="2" applyNumberFormat="1" applyFont="1" applyFill="1" applyBorder="1" applyAlignment="1">
      <alignment horizontal="left" vertical="top" wrapText="1"/>
    </xf>
    <xf numFmtId="164" fontId="10" fillId="2" borderId="166" xfId="2" applyNumberFormat="1" applyFont="1" applyFill="1" applyBorder="1" applyAlignment="1">
      <alignment horizontal="left" vertical="top" wrapText="1"/>
    </xf>
    <xf numFmtId="164" fontId="4" fillId="0" borderId="166" xfId="1" applyNumberFormat="1" applyFont="1" applyBorder="1" applyAlignment="1">
      <alignment horizontal="left" vertical="top"/>
    </xf>
    <xf numFmtId="165" fontId="24" fillId="0" borderId="148" xfId="2" applyNumberFormat="1" applyFont="1" applyBorder="1" applyAlignment="1">
      <alignment horizontal="left" vertical="top"/>
    </xf>
    <xf numFmtId="165" fontId="24" fillId="0" borderId="112" xfId="2" applyNumberFormat="1" applyFont="1" applyBorder="1" applyAlignment="1">
      <alignment horizontal="left" vertical="top"/>
    </xf>
    <xf numFmtId="0" fontId="19" fillId="6" borderId="160" xfId="2" applyFont="1" applyFill="1" applyBorder="1" applyAlignment="1">
      <alignment horizontal="left" vertical="top"/>
    </xf>
    <xf numFmtId="2" fontId="31" fillId="0" borderId="148" xfId="1" applyNumberFormat="1" applyFont="1" applyBorder="1" applyAlignment="1">
      <alignment horizontal="left" vertical="top"/>
    </xf>
    <xf numFmtId="2" fontId="31" fillId="0" borderId="111" xfId="1" applyNumberFormat="1" applyFont="1" applyBorder="1" applyAlignment="1">
      <alignment horizontal="left" vertical="top"/>
    </xf>
    <xf numFmtId="0" fontId="21" fillId="0" borderId="111" xfId="1" applyFont="1" applyBorder="1" applyAlignment="1">
      <alignment vertical="center"/>
    </xf>
    <xf numFmtId="3" fontId="32" fillId="0" borderId="111" xfId="1" applyNumberFormat="1" applyFont="1" applyBorder="1" applyAlignment="1">
      <alignment horizontal="center" vertical="top" wrapText="1"/>
    </xf>
    <xf numFmtId="0" fontId="13" fillId="0" borderId="112" xfId="1" applyFont="1" applyBorder="1" applyAlignment="1">
      <alignment horizontal="center" vertical="center"/>
    </xf>
    <xf numFmtId="0" fontId="13" fillId="0" borderId="28" xfId="1" applyFont="1" applyBorder="1" applyAlignment="1">
      <alignment horizontal="left" vertical="top" wrapText="1"/>
    </xf>
    <xf numFmtId="0" fontId="21" fillId="0" borderId="28" xfId="2" applyFont="1" applyBorder="1" applyAlignment="1">
      <alignment horizontal="left" vertical="top" wrapText="1"/>
    </xf>
    <xf numFmtId="0" fontId="10" fillId="0" borderId="28" xfId="2" applyFont="1" applyBorder="1" applyAlignment="1">
      <alignment horizontal="left" vertical="top"/>
    </xf>
    <xf numFmtId="3" fontId="10" fillId="0" borderId="29" xfId="2" applyNumberFormat="1" applyFont="1" applyBorder="1" applyAlignment="1">
      <alignment horizontal="center" vertical="top" wrapText="1"/>
    </xf>
    <xf numFmtId="1" fontId="38" fillId="4" borderId="48" xfId="2" applyNumberFormat="1" applyFont="1" applyFill="1" applyBorder="1" applyAlignment="1">
      <alignment horizontal="center" wrapText="1"/>
    </xf>
    <xf numFmtId="1" fontId="38" fillId="4" borderId="86" xfId="2" applyNumberFormat="1" applyFont="1" applyFill="1" applyBorder="1" applyAlignment="1">
      <alignment horizontal="center" wrapText="1"/>
    </xf>
    <xf numFmtId="1" fontId="39" fillId="4" borderId="49" xfId="2" applyNumberFormat="1" applyFont="1" applyFill="1" applyBorder="1" applyAlignment="1">
      <alignment horizontal="left" wrapText="1"/>
    </xf>
    <xf numFmtId="0" fontId="18" fillId="6" borderId="159" xfId="2" applyFont="1" applyFill="1" applyBorder="1" applyAlignment="1">
      <alignment horizontal="left" vertical="top"/>
    </xf>
    <xf numFmtId="0" fontId="11" fillId="7" borderId="160" xfId="2" applyFont="1" applyFill="1" applyBorder="1" applyAlignment="1">
      <alignment vertical="top"/>
    </xf>
    <xf numFmtId="2" fontId="11" fillId="7" borderId="160" xfId="2" applyNumberFormat="1" applyFont="1" applyFill="1" applyBorder="1" applyAlignment="1">
      <alignment vertical="top"/>
    </xf>
    <xf numFmtId="164" fontId="11" fillId="7" borderId="160" xfId="2" applyNumberFormat="1" applyFont="1" applyFill="1" applyBorder="1" applyAlignment="1">
      <alignment vertical="top"/>
    </xf>
    <xf numFmtId="164" fontId="11" fillId="7" borderId="161" xfId="2" applyNumberFormat="1" applyFont="1" applyFill="1" applyBorder="1" applyAlignment="1">
      <alignment vertical="top"/>
    </xf>
    <xf numFmtId="3" fontId="11" fillId="0" borderId="112" xfId="2" applyNumberFormat="1" applyFont="1" applyBorder="1" applyAlignment="1">
      <alignment horizontal="center" vertical="top" wrapText="1"/>
    </xf>
    <xf numFmtId="0" fontId="21" fillId="0" borderId="167" xfId="2" applyFont="1" applyBorder="1" applyAlignment="1">
      <alignment horizontal="center" vertical="top"/>
    </xf>
    <xf numFmtId="0" fontId="10" fillId="0" borderId="167" xfId="2" applyFont="1" applyBorder="1" applyAlignment="1">
      <alignment horizontal="center" vertical="top"/>
    </xf>
    <xf numFmtId="3" fontId="10" fillId="0" borderId="167" xfId="2" applyNumberFormat="1" applyFont="1" applyBorder="1" applyAlignment="1">
      <alignment horizontal="center" vertical="top" wrapText="1"/>
    </xf>
    <xf numFmtId="4" fontId="15" fillId="0" borderId="78" xfId="2" applyNumberFormat="1" applyFont="1" applyBorder="1" applyAlignment="1">
      <alignment horizontal="center" vertical="top" wrapText="1"/>
    </xf>
    <xf numFmtId="4" fontId="13" fillId="0" borderId="79" xfId="2" applyNumberFormat="1" applyFont="1" applyBorder="1" applyAlignment="1">
      <alignment horizontal="left" vertical="top" wrapText="1"/>
    </xf>
    <xf numFmtId="0" fontId="11" fillId="7" borderId="86" xfId="2" applyFont="1" applyFill="1" applyBorder="1" applyAlignment="1">
      <alignment vertical="top"/>
    </xf>
    <xf numFmtId="164" fontId="11" fillId="7" borderId="49" xfId="2" applyNumberFormat="1" applyFont="1" applyFill="1" applyBorder="1" applyAlignment="1">
      <alignment vertical="top"/>
    </xf>
    <xf numFmtId="2" fontId="19" fillId="0" borderId="26" xfId="2" applyNumberFormat="1" applyFont="1" applyBorder="1" applyAlignment="1">
      <alignment horizontal="left" vertical="center"/>
    </xf>
    <xf numFmtId="2" fontId="19" fillId="0" borderId="27" xfId="2" applyNumberFormat="1" applyFont="1" applyBorder="1" applyAlignment="1">
      <alignment horizontal="left" vertical="center"/>
    </xf>
    <xf numFmtId="0" fontId="10" fillId="0" borderId="27" xfId="2" applyFont="1" applyBorder="1" applyAlignment="1">
      <alignment horizontal="left" vertical="center"/>
    </xf>
    <xf numFmtId="0" fontId="10" fillId="0" borderId="27" xfId="2" applyFont="1" applyBorder="1" applyAlignment="1">
      <alignment horizontal="center" vertical="center"/>
    </xf>
    <xf numFmtId="0" fontId="21" fillId="0" borderId="29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3" fontId="10" fillId="0" borderId="29" xfId="2" applyNumberFormat="1" applyFont="1" applyBorder="1" applyAlignment="1">
      <alignment horizontal="center" vertical="center"/>
    </xf>
    <xf numFmtId="3" fontId="21" fillId="0" borderId="28" xfId="2" applyNumberFormat="1" applyFont="1" applyBorder="1" applyAlignment="1">
      <alignment horizontal="left" vertical="top"/>
    </xf>
    <xf numFmtId="0" fontId="10" fillId="0" borderId="27" xfId="2" applyFont="1" applyBorder="1" applyAlignment="1">
      <alignment vertical="center"/>
    </xf>
    <xf numFmtId="0" fontId="21" fillId="0" borderId="27" xfId="2" applyFont="1" applyBorder="1" applyAlignment="1">
      <alignment horizontal="left" vertical="center"/>
    </xf>
    <xf numFmtId="0" fontId="21" fillId="0" borderId="27" xfId="2" applyFont="1" applyBorder="1" applyAlignment="1">
      <alignment horizontal="center" vertical="center"/>
    </xf>
    <xf numFmtId="3" fontId="21" fillId="0" borderId="29" xfId="2" applyNumberFormat="1" applyFont="1" applyBorder="1" applyAlignment="1">
      <alignment horizontal="center" vertical="center"/>
    </xf>
    <xf numFmtId="3" fontId="21" fillId="0" borderId="29" xfId="1" applyNumberFormat="1" applyFont="1" applyBorder="1" applyAlignment="1">
      <alignment horizontal="center" vertical="center" wrapText="1"/>
    </xf>
    <xf numFmtId="164" fontId="19" fillId="0" borderId="78" xfId="2" applyNumberFormat="1" applyFont="1" applyBorder="1" applyAlignment="1">
      <alignment horizontal="right" vertical="top"/>
    </xf>
    <xf numFmtId="164" fontId="19" fillId="0" borderId="140" xfId="2" applyNumberFormat="1" applyFont="1" applyBorder="1" applyAlignment="1">
      <alignment horizontal="right" vertical="top"/>
    </xf>
    <xf numFmtId="3" fontId="21" fillId="2" borderId="29" xfId="2" applyNumberFormat="1" applyFont="1" applyFill="1" applyBorder="1" applyAlignment="1">
      <alignment horizontal="center" vertical="top"/>
    </xf>
    <xf numFmtId="0" fontId="21" fillId="0" borderId="27" xfId="2" applyFont="1" applyBorder="1" applyAlignment="1">
      <alignment horizontal="center"/>
    </xf>
    <xf numFmtId="164" fontId="19" fillId="0" borderId="144" xfId="2" applyNumberFormat="1" applyFont="1" applyBorder="1" applyAlignment="1">
      <alignment horizontal="right" vertical="top"/>
    </xf>
    <xf numFmtId="164" fontId="19" fillId="0" borderId="38" xfId="2" applyNumberFormat="1" applyFont="1" applyBorder="1" applyAlignment="1">
      <alignment horizontal="right" vertical="top"/>
    </xf>
    <xf numFmtId="3" fontId="21" fillId="0" borderId="167" xfId="2" applyNumberFormat="1" applyFont="1" applyBorder="1" applyAlignment="1">
      <alignment horizontal="center" vertical="top" wrapText="1"/>
    </xf>
    <xf numFmtId="0" fontId="11" fillId="7" borderId="160" xfId="2" applyFont="1" applyFill="1" applyBorder="1" applyAlignment="1">
      <alignment horizontal="left" vertical="top"/>
    </xf>
    <xf numFmtId="2" fontId="10" fillId="7" borderId="160" xfId="2" applyNumberFormat="1" applyFont="1" applyFill="1" applyBorder="1" applyAlignment="1">
      <alignment vertical="top"/>
    </xf>
    <xf numFmtId="164" fontId="10" fillId="7" borderId="161" xfId="2" applyNumberFormat="1" applyFont="1" applyFill="1" applyBorder="1" applyAlignment="1">
      <alignment horizontal="left" vertical="top"/>
    </xf>
    <xf numFmtId="3" fontId="10" fillId="0" borderId="113" xfId="2" applyNumberFormat="1" applyFont="1" applyBorder="1" applyAlignment="1">
      <alignment horizontal="left" vertical="top" wrapText="1"/>
    </xf>
    <xf numFmtId="164" fontId="13" fillId="7" borderId="161" xfId="2" applyNumberFormat="1" applyFont="1" applyFill="1" applyBorder="1" applyAlignment="1">
      <alignment horizontal="left" vertical="top"/>
    </xf>
    <xf numFmtId="2" fontId="19" fillId="0" borderId="35" xfId="2" applyNumberFormat="1" applyFont="1" applyBorder="1" applyAlignment="1">
      <alignment vertical="top"/>
    </xf>
    <xf numFmtId="2" fontId="19" fillId="0" borderId="36" xfId="2" applyNumberFormat="1" applyFont="1" applyBorder="1" applyAlignment="1">
      <alignment vertical="top"/>
    </xf>
    <xf numFmtId="3" fontId="10" fillId="0" borderId="39" xfId="2" applyNumberFormat="1" applyFont="1" applyBorder="1" applyAlignment="1">
      <alignment horizontal="left" vertical="top" wrapText="1"/>
    </xf>
    <xf numFmtId="0" fontId="10" fillId="2" borderId="113" xfId="2" applyFont="1" applyFill="1" applyBorder="1" applyAlignment="1">
      <alignment horizontal="left" vertical="top" wrapText="1"/>
    </xf>
    <xf numFmtId="1" fontId="38" fillId="4" borderId="48" xfId="1" applyNumberFormat="1" applyFont="1" applyFill="1" applyBorder="1" applyAlignment="1">
      <alignment horizontal="center" wrapText="1"/>
    </xf>
    <xf numFmtId="1" fontId="38" fillId="4" borderId="86" xfId="1" applyNumberFormat="1" applyFont="1" applyFill="1" applyBorder="1" applyAlignment="1">
      <alignment horizontal="center" wrapText="1"/>
    </xf>
    <xf numFmtId="1" fontId="40" fillId="4" borderId="49" xfId="1" applyNumberFormat="1" applyFont="1" applyFill="1" applyBorder="1" applyAlignment="1">
      <alignment horizontal="left" wrapText="1"/>
    </xf>
    <xf numFmtId="0" fontId="10" fillId="2" borderId="30" xfId="1" applyFont="1" applyFill="1" applyBorder="1" applyAlignment="1">
      <alignment vertical="top"/>
    </xf>
    <xf numFmtId="0" fontId="10" fillId="2" borderId="70" xfId="1" applyFont="1" applyFill="1" applyBorder="1" applyAlignment="1">
      <alignment vertical="top"/>
    </xf>
    <xf numFmtId="0" fontId="11" fillId="2" borderId="78" xfId="1" applyFont="1" applyFill="1" applyBorder="1" applyAlignment="1">
      <alignment horizontal="right" vertical="top"/>
    </xf>
    <xf numFmtId="2" fontId="12" fillId="2" borderId="78" xfId="1" applyNumberFormat="1" applyFont="1" applyFill="1" applyBorder="1" applyAlignment="1">
      <alignment horizontal="right" vertical="top"/>
    </xf>
    <xf numFmtId="164" fontId="13" fillId="2" borderId="125" xfId="1" applyNumberFormat="1" applyFont="1" applyFill="1" applyBorder="1" applyAlignment="1">
      <alignment horizontal="left" vertical="top"/>
    </xf>
    <xf numFmtId="164" fontId="10" fillId="2" borderId="78" xfId="1" applyNumberFormat="1" applyFont="1" applyFill="1" applyBorder="1" applyAlignment="1">
      <alignment horizontal="left" vertical="top"/>
    </xf>
    <xf numFmtId="164" fontId="10" fillId="2" borderId="131" xfId="1" applyNumberFormat="1" applyFont="1" applyFill="1" applyBorder="1" applyAlignment="1">
      <alignment horizontal="left" vertical="top" wrapText="1"/>
    </xf>
    <xf numFmtId="0" fontId="10" fillId="2" borderId="126" xfId="1" applyFont="1" applyFill="1" applyBorder="1" applyAlignment="1">
      <alignment vertical="top"/>
    </xf>
    <xf numFmtId="0" fontId="10" fillId="2" borderId="127" xfId="1" applyFont="1" applyFill="1" applyBorder="1" applyAlignment="1">
      <alignment vertical="top"/>
    </xf>
    <xf numFmtId="0" fontId="11" fillId="2" borderId="125" xfId="1" applyFont="1" applyFill="1" applyBorder="1" applyAlignment="1">
      <alignment horizontal="right" vertical="top"/>
    </xf>
    <xf numFmtId="164" fontId="10" fillId="2" borderId="125" xfId="1" applyNumberFormat="1" applyFont="1" applyFill="1" applyBorder="1" applyAlignment="1">
      <alignment horizontal="left" vertical="top"/>
    </xf>
    <xf numFmtId="0" fontId="10" fillId="2" borderId="128" xfId="1" applyFont="1" applyFill="1" applyBorder="1" applyAlignment="1">
      <alignment vertical="top"/>
    </xf>
    <xf numFmtId="0" fontId="10" fillId="2" borderId="46" xfId="1" applyFont="1" applyFill="1" applyBorder="1" applyAlignment="1">
      <alignment vertical="top"/>
    </xf>
    <xf numFmtId="3" fontId="14" fillId="2" borderId="130" xfId="1" applyNumberFormat="1" applyFont="1" applyFill="1" applyBorder="1" applyAlignment="1">
      <alignment horizontal="right" vertical="top"/>
    </xf>
    <xf numFmtId="164" fontId="13" fillId="2" borderId="130" xfId="1" applyNumberFormat="1" applyFont="1" applyFill="1" applyBorder="1" applyAlignment="1">
      <alignment horizontal="left" vertical="top"/>
    </xf>
    <xf numFmtId="14" fontId="15" fillId="2" borderId="130" xfId="1" applyNumberFormat="1" applyFont="1" applyFill="1" applyBorder="1" applyAlignment="1">
      <alignment horizontal="center" vertical="top"/>
    </xf>
    <xf numFmtId="164" fontId="14" fillId="2" borderId="130" xfId="1" applyNumberFormat="1" applyFont="1" applyFill="1" applyBorder="1" applyAlignment="1">
      <alignment horizontal="center" vertical="top"/>
    </xf>
    <xf numFmtId="164" fontId="16" fillId="5" borderId="110" xfId="1" applyNumberFormat="1" applyFont="1" applyFill="1" applyBorder="1" applyAlignment="1">
      <alignment horizontal="left" vertical="top"/>
    </xf>
    <xf numFmtId="164" fontId="16" fillId="5" borderId="111" xfId="1" applyNumberFormat="1" applyFont="1" applyFill="1" applyBorder="1" applyAlignment="1">
      <alignment horizontal="left" vertical="top"/>
    </xf>
    <xf numFmtId="164" fontId="17" fillId="5" borderId="111" xfId="1" applyNumberFormat="1" applyFont="1" applyFill="1" applyBorder="1" applyAlignment="1">
      <alignment horizontal="center" vertical="top" wrapText="1"/>
    </xf>
    <xf numFmtId="164" fontId="17" fillId="5" borderId="113" xfId="1" applyNumberFormat="1" applyFont="1" applyFill="1" applyBorder="1" applyAlignment="1">
      <alignment horizontal="center" vertical="top" wrapText="1"/>
    </xf>
    <xf numFmtId="0" fontId="18" fillId="8" borderId="159" xfId="1" applyFont="1" applyFill="1" applyBorder="1" applyAlignment="1">
      <alignment horizontal="left" vertical="top"/>
    </xf>
    <xf numFmtId="0" fontId="19" fillId="8" borderId="160" xfId="1" applyFont="1" applyFill="1" applyBorder="1" applyAlignment="1">
      <alignment horizontal="left" vertical="top"/>
    </xf>
    <xf numFmtId="0" fontId="11" fillId="9" borderId="160" xfId="1" applyFont="1" applyFill="1" applyBorder="1" applyAlignment="1">
      <alignment horizontal="left" vertical="top"/>
    </xf>
    <xf numFmtId="2" fontId="11" fillId="9" borderId="160" xfId="1" applyNumberFormat="1" applyFont="1" applyFill="1" applyBorder="1" applyAlignment="1">
      <alignment vertical="top"/>
    </xf>
    <xf numFmtId="164" fontId="11" fillId="9" borderId="160" xfId="1" applyNumberFormat="1" applyFont="1" applyFill="1" applyBorder="1" applyAlignment="1">
      <alignment vertical="top"/>
    </xf>
    <xf numFmtId="164" fontId="13" fillId="9" borderId="161" xfId="1" applyNumberFormat="1" applyFont="1" applyFill="1" applyBorder="1" applyAlignment="1">
      <alignment horizontal="left" vertical="top" wrapText="1"/>
    </xf>
    <xf numFmtId="2" fontId="19" fillId="0" borderId="110" xfId="1" applyNumberFormat="1" applyFont="1" applyBorder="1" applyAlignment="1">
      <alignment horizontal="left" vertical="top"/>
    </xf>
    <xf numFmtId="2" fontId="19" fillId="0" borderId="111" xfId="1" applyNumberFormat="1" applyFont="1" applyBorder="1" applyAlignment="1">
      <alignment horizontal="left" vertical="top"/>
    </xf>
    <xf numFmtId="0" fontId="21" fillId="0" borderId="111" xfId="1" applyFont="1" applyBorder="1" applyAlignment="1">
      <alignment horizontal="left" vertical="center"/>
    </xf>
    <xf numFmtId="0" fontId="10" fillId="0" borderId="111" xfId="1" applyFont="1" applyBorder="1" applyAlignment="1">
      <alignment vertical="top"/>
    </xf>
    <xf numFmtId="3" fontId="10" fillId="0" borderId="112" xfId="1" applyNumberFormat="1" applyFont="1" applyBorder="1" applyAlignment="1">
      <alignment horizontal="center" vertical="center"/>
    </xf>
    <xf numFmtId="3" fontId="21" fillId="0" borderId="132" xfId="1" applyNumberFormat="1" applyFont="1" applyBorder="1" applyAlignment="1">
      <alignment horizontal="left" vertical="top" wrapText="1"/>
    </xf>
    <xf numFmtId="3" fontId="10" fillId="2" borderId="112" xfId="1" applyNumberFormat="1" applyFont="1" applyFill="1" applyBorder="1" applyAlignment="1">
      <alignment horizontal="center" vertical="center"/>
    </xf>
    <xf numFmtId="3" fontId="21" fillId="0" borderId="113" xfId="1" applyNumberFormat="1" applyFont="1" applyBorder="1" applyAlignment="1">
      <alignment horizontal="left" vertical="top" wrapText="1"/>
    </xf>
    <xf numFmtId="3" fontId="13" fillId="0" borderId="113" xfId="1" applyNumberFormat="1" applyFont="1" applyBorder="1" applyAlignment="1">
      <alignment horizontal="left" vertical="top" wrapText="1"/>
    </xf>
    <xf numFmtId="3" fontId="22" fillId="0" borderId="113" xfId="1" applyNumberFormat="1" applyFont="1" applyBorder="1" applyAlignment="1">
      <alignment horizontal="left" vertical="top" wrapText="1"/>
    </xf>
    <xf numFmtId="0" fontId="10" fillId="0" borderId="111" xfId="1" applyFont="1" applyBorder="1" applyAlignment="1">
      <alignment horizontal="left" vertical="center"/>
    </xf>
    <xf numFmtId="2" fontId="19" fillId="0" borderId="149" xfId="1" applyNumberFormat="1" applyFont="1" applyBorder="1" applyAlignment="1">
      <alignment horizontal="left" vertical="top"/>
    </xf>
    <xf numFmtId="2" fontId="19" fillId="0" borderId="150" xfId="1" applyNumberFormat="1" applyFont="1" applyBorder="1" applyAlignment="1">
      <alignment horizontal="left" vertical="top"/>
    </xf>
    <xf numFmtId="0" fontId="11" fillId="0" borderId="151" xfId="1" applyFont="1" applyBorder="1" applyAlignment="1">
      <alignment horizontal="left" vertical="top" wrapText="1"/>
    </xf>
    <xf numFmtId="3" fontId="11" fillId="0" borderId="150" xfId="1" applyNumberFormat="1" applyFont="1" applyBorder="1" applyAlignment="1">
      <alignment horizontal="right" vertical="top" wrapText="1"/>
    </xf>
    <xf numFmtId="3" fontId="11" fillId="0" borderId="152" xfId="1" applyNumberFormat="1" applyFont="1" applyBorder="1" applyAlignment="1">
      <alignment horizontal="right" vertical="top" wrapText="1"/>
    </xf>
    <xf numFmtId="4" fontId="15" fillId="0" borderId="152" xfId="1" applyNumberFormat="1" applyFont="1" applyBorder="1" applyAlignment="1">
      <alignment horizontal="center" vertical="top" wrapText="1"/>
    </xf>
    <xf numFmtId="4" fontId="13" fillId="0" borderId="168" xfId="1" applyNumberFormat="1" applyFont="1" applyBorder="1" applyAlignment="1">
      <alignment horizontal="left" vertical="top" wrapText="1"/>
    </xf>
    <xf numFmtId="2" fontId="19" fillId="0" borderId="169" xfId="1" applyNumberFormat="1" applyFont="1" applyBorder="1" applyAlignment="1">
      <alignment horizontal="left" vertical="top"/>
    </xf>
    <xf numFmtId="2" fontId="19" fillId="0" borderId="170" xfId="1" applyNumberFormat="1" applyFont="1" applyBorder="1" applyAlignment="1">
      <alignment horizontal="left" vertical="top"/>
    </xf>
    <xf numFmtId="0" fontId="11" fillId="0" borderId="171" xfId="1" applyFont="1" applyBorder="1" applyAlignment="1">
      <alignment horizontal="left" vertical="top" wrapText="1"/>
    </xf>
    <xf numFmtId="3" fontId="11" fillId="0" borderId="170" xfId="1" applyNumberFormat="1" applyFont="1" applyBorder="1" applyAlignment="1">
      <alignment horizontal="right" vertical="top" wrapText="1"/>
    </xf>
    <xf numFmtId="3" fontId="11" fillId="0" borderId="172" xfId="1" applyNumberFormat="1" applyFont="1" applyBorder="1" applyAlignment="1">
      <alignment horizontal="right" vertical="top" wrapText="1"/>
    </xf>
    <xf numFmtId="164" fontId="23" fillId="0" borderId="172" xfId="1" applyNumberFormat="1" applyFont="1" applyBorder="1" applyAlignment="1">
      <alignment horizontal="right" vertical="top"/>
    </xf>
    <xf numFmtId="3" fontId="11" fillId="0" borderId="172" xfId="1" applyNumberFormat="1" applyFont="1" applyBorder="1" applyAlignment="1">
      <alignment horizontal="center" vertical="top" wrapText="1"/>
    </xf>
    <xf numFmtId="3" fontId="14" fillId="0" borderId="173" xfId="1" applyNumberFormat="1" applyFont="1" applyBorder="1" applyAlignment="1">
      <alignment horizontal="left" vertical="top" wrapText="1"/>
    </xf>
    <xf numFmtId="2" fontId="19" fillId="0" borderId="174" xfId="1" applyNumberFormat="1" applyFont="1" applyBorder="1" applyAlignment="1">
      <alignment horizontal="left" vertical="top"/>
    </xf>
    <xf numFmtId="2" fontId="19" fillId="0" borderId="175" xfId="1" applyNumberFormat="1" applyFont="1" applyBorder="1" applyAlignment="1">
      <alignment horizontal="left" vertical="top"/>
    </xf>
    <xf numFmtId="0" fontId="21" fillId="0" borderId="175" xfId="1" applyFont="1" applyBorder="1" applyAlignment="1">
      <alignment horizontal="left" vertical="center"/>
    </xf>
    <xf numFmtId="0" fontId="10" fillId="0" borderId="175" xfId="1" applyFont="1" applyBorder="1" applyAlignment="1">
      <alignment horizontal="center" vertical="center"/>
    </xf>
    <xf numFmtId="0" fontId="21" fillId="0" borderId="176" xfId="1" applyFont="1" applyBorder="1" applyAlignment="1">
      <alignment horizontal="center" vertical="center"/>
    </xf>
    <xf numFmtId="3" fontId="21" fillId="0" borderId="176" xfId="1" applyNumberFormat="1" applyFont="1" applyBorder="1" applyAlignment="1">
      <alignment horizontal="center" vertical="center"/>
    </xf>
    <xf numFmtId="3" fontId="10" fillId="0" borderId="176" xfId="1" applyNumberFormat="1" applyFont="1" applyBorder="1" applyAlignment="1">
      <alignment horizontal="center" vertical="center"/>
    </xf>
    <xf numFmtId="3" fontId="13" fillId="0" borderId="177" xfId="1" applyNumberFormat="1" applyFont="1" applyBorder="1" applyAlignment="1">
      <alignment horizontal="left" vertical="top" wrapText="1"/>
    </xf>
    <xf numFmtId="3" fontId="21" fillId="2" borderId="176" xfId="1" applyNumberFormat="1" applyFont="1" applyFill="1" applyBorder="1" applyAlignment="1">
      <alignment horizontal="center" vertical="center"/>
    </xf>
    <xf numFmtId="3" fontId="22" fillId="2" borderId="177" xfId="1" applyNumberFormat="1" applyFont="1" applyFill="1" applyBorder="1" applyAlignment="1">
      <alignment horizontal="left" vertical="top" wrapText="1"/>
    </xf>
    <xf numFmtId="3" fontId="21" fillId="0" borderId="176" xfId="1" applyNumberFormat="1" applyFont="1" applyBorder="1" applyAlignment="1">
      <alignment horizontal="center" vertical="center" wrapText="1"/>
    </xf>
    <xf numFmtId="3" fontId="21" fillId="0" borderId="177" xfId="1" applyNumberFormat="1" applyFont="1" applyBorder="1" applyAlignment="1">
      <alignment horizontal="left" vertical="top" wrapText="1"/>
    </xf>
    <xf numFmtId="0" fontId="10" fillId="0" borderId="175" xfId="1" applyFont="1" applyBorder="1" applyAlignment="1">
      <alignment vertical="top"/>
    </xf>
    <xf numFmtId="0" fontId="10" fillId="0" borderId="175" xfId="1" applyFont="1" applyBorder="1" applyAlignment="1">
      <alignment horizontal="left" vertical="center"/>
    </xf>
    <xf numFmtId="3" fontId="21" fillId="0" borderId="177" xfId="1" applyNumberFormat="1" applyFont="1" applyBorder="1" applyAlignment="1">
      <alignment horizontal="left" vertical="center" wrapText="1"/>
    </xf>
    <xf numFmtId="0" fontId="10" fillId="0" borderId="176" xfId="1" applyFont="1" applyBorder="1" applyAlignment="1">
      <alignment horizontal="center" vertical="center"/>
    </xf>
    <xf numFmtId="2" fontId="19" fillId="0" borderId="178" xfId="1" applyNumberFormat="1" applyFont="1" applyBorder="1" applyAlignment="1">
      <alignment horizontal="left" vertical="top"/>
    </xf>
    <xf numFmtId="2" fontId="19" fillId="0" borderId="179" xfId="1" applyNumberFormat="1" applyFont="1" applyBorder="1" applyAlignment="1">
      <alignment horizontal="left" vertical="top"/>
    </xf>
    <xf numFmtId="0" fontId="11" fillId="0" borderId="180" xfId="1" applyFont="1" applyBorder="1" applyAlignment="1">
      <alignment horizontal="left" vertical="top" wrapText="1"/>
    </xf>
    <xf numFmtId="3" fontId="11" fillId="0" borderId="179" xfId="1" applyNumberFormat="1" applyFont="1" applyBorder="1" applyAlignment="1">
      <alignment horizontal="right" vertical="top" wrapText="1"/>
    </xf>
    <xf numFmtId="3" fontId="11" fillId="0" borderId="181" xfId="1" applyNumberFormat="1" applyFont="1" applyBorder="1" applyAlignment="1">
      <alignment horizontal="right" vertical="top" wrapText="1"/>
    </xf>
    <xf numFmtId="164" fontId="23" fillId="0" borderId="181" xfId="1" applyNumberFormat="1" applyFont="1" applyBorder="1" applyAlignment="1">
      <alignment horizontal="right" vertical="top"/>
    </xf>
    <xf numFmtId="4" fontId="15" fillId="0" borderId="181" xfId="1" applyNumberFormat="1" applyFont="1" applyBorder="1" applyAlignment="1">
      <alignment horizontal="center" vertical="top" wrapText="1"/>
    </xf>
    <xf numFmtId="4" fontId="13" fillId="0" borderId="182" xfId="1" applyNumberFormat="1" applyFont="1" applyBorder="1" applyAlignment="1">
      <alignment horizontal="left" vertical="top" wrapText="1"/>
    </xf>
    <xf numFmtId="2" fontId="19" fillId="0" borderId="183" xfId="1" applyNumberFormat="1" applyFont="1" applyBorder="1" applyAlignment="1">
      <alignment horizontal="left" vertical="top"/>
    </xf>
    <xf numFmtId="2" fontId="19" fillId="0" borderId="184" xfId="1" applyNumberFormat="1" applyFont="1" applyBorder="1" applyAlignment="1">
      <alignment horizontal="left" vertical="top"/>
    </xf>
    <xf numFmtId="0" fontId="11" fillId="0" borderId="185" xfId="1" applyFont="1" applyBorder="1" applyAlignment="1">
      <alignment horizontal="left" vertical="top" wrapText="1"/>
    </xf>
    <xf numFmtId="3" fontId="11" fillId="0" borderId="184" xfId="1" applyNumberFormat="1" applyFont="1" applyBorder="1" applyAlignment="1">
      <alignment horizontal="right" vertical="top" wrapText="1"/>
    </xf>
    <xf numFmtId="3" fontId="11" fillId="0" borderId="186" xfId="1" applyNumberFormat="1" applyFont="1" applyBorder="1" applyAlignment="1">
      <alignment horizontal="right" vertical="top" wrapText="1"/>
    </xf>
    <xf numFmtId="164" fontId="23" fillId="0" borderId="186" xfId="1" applyNumberFormat="1" applyFont="1" applyBorder="1" applyAlignment="1">
      <alignment horizontal="right" vertical="top"/>
    </xf>
    <xf numFmtId="3" fontId="11" fillId="0" borderId="186" xfId="1" applyNumberFormat="1" applyFont="1" applyBorder="1" applyAlignment="1">
      <alignment horizontal="center" vertical="top" wrapText="1"/>
    </xf>
    <xf numFmtId="3" fontId="14" fillId="0" borderId="187" xfId="1" applyNumberFormat="1" applyFont="1" applyBorder="1" applyAlignment="1">
      <alignment horizontal="left" vertical="top" wrapText="1"/>
    </xf>
    <xf numFmtId="2" fontId="19" fillId="0" borderId="188" xfId="1" applyNumberFormat="1" applyFont="1" applyBorder="1" applyAlignment="1">
      <alignment horizontal="left" vertical="top"/>
    </xf>
    <xf numFmtId="2" fontId="19" fillId="0" borderId="189" xfId="1" applyNumberFormat="1" applyFont="1" applyBorder="1" applyAlignment="1">
      <alignment horizontal="left" vertical="top"/>
    </xf>
    <xf numFmtId="0" fontId="21" fillId="0" borderId="189" xfId="1" applyFont="1" applyBorder="1" applyAlignment="1">
      <alignment horizontal="left" vertical="top"/>
    </xf>
    <xf numFmtId="0" fontId="10" fillId="0" borderId="189" xfId="1" applyFont="1" applyBorder="1" applyAlignment="1">
      <alignment vertical="top"/>
    </xf>
    <xf numFmtId="3" fontId="13" fillId="0" borderId="190" xfId="1" applyNumberFormat="1" applyFont="1" applyBorder="1" applyAlignment="1">
      <alignment horizontal="center" vertical="center" wrapText="1"/>
    </xf>
    <xf numFmtId="3" fontId="10" fillId="0" borderId="190" xfId="1" applyNumberFormat="1" applyFont="1" applyBorder="1" applyAlignment="1">
      <alignment horizontal="center" vertical="center"/>
    </xf>
    <xf numFmtId="0" fontId="10" fillId="0" borderId="190" xfId="1" applyFont="1" applyBorder="1" applyAlignment="1">
      <alignment horizontal="center" vertical="top"/>
    </xf>
    <xf numFmtId="0" fontId="10" fillId="0" borderId="191" xfId="1" applyFont="1" applyBorder="1" applyAlignment="1">
      <alignment horizontal="left" vertical="top" wrapText="1"/>
    </xf>
    <xf numFmtId="3" fontId="21" fillId="0" borderId="190" xfId="1" applyNumberFormat="1" applyFont="1" applyBorder="1" applyAlignment="1">
      <alignment horizontal="center" vertical="center" wrapText="1"/>
    </xf>
    <xf numFmtId="3" fontId="13" fillId="2" borderId="190" xfId="1" applyNumberFormat="1" applyFont="1" applyFill="1" applyBorder="1" applyAlignment="1">
      <alignment horizontal="center" vertical="center"/>
    </xf>
    <xf numFmtId="0" fontId="10" fillId="0" borderId="190" xfId="1" applyFont="1" applyBorder="1" applyAlignment="1">
      <alignment horizontal="center" vertical="center"/>
    </xf>
    <xf numFmtId="3" fontId="21" fillId="0" borderId="191" xfId="1" applyNumberFormat="1" applyFont="1" applyBorder="1" applyAlignment="1">
      <alignment horizontal="left" vertical="top" wrapText="1"/>
    </xf>
    <xf numFmtId="2" fontId="19" fillId="0" borderId="192" xfId="1" applyNumberFormat="1" applyFont="1" applyBorder="1" applyAlignment="1">
      <alignment horizontal="left" vertical="top"/>
    </xf>
    <xf numFmtId="2" fontId="19" fillId="0" borderId="193" xfId="1" applyNumberFormat="1" applyFont="1" applyBorder="1" applyAlignment="1">
      <alignment horizontal="left" vertical="top"/>
    </xf>
    <xf numFmtId="0" fontId="11" fillId="0" borderId="194" xfId="1" applyFont="1" applyBorder="1" applyAlignment="1">
      <alignment horizontal="left" vertical="top" wrapText="1"/>
    </xf>
    <xf numFmtId="3" fontId="11" fillId="0" borderId="193" xfId="1" applyNumberFormat="1" applyFont="1" applyBorder="1" applyAlignment="1">
      <alignment horizontal="right" vertical="top" wrapText="1"/>
    </xf>
    <xf numFmtId="3" fontId="11" fillId="0" borderId="195" xfId="1" applyNumberFormat="1" applyFont="1" applyBorder="1" applyAlignment="1">
      <alignment horizontal="right" vertical="top" wrapText="1"/>
    </xf>
    <xf numFmtId="164" fontId="23" fillId="0" borderId="195" xfId="1" applyNumberFormat="1" applyFont="1" applyBorder="1" applyAlignment="1">
      <alignment horizontal="right" vertical="top"/>
    </xf>
    <xf numFmtId="4" fontId="15" fillId="0" borderId="195" xfId="1" applyNumberFormat="1" applyFont="1" applyBorder="1" applyAlignment="1">
      <alignment horizontal="center" vertical="top" wrapText="1"/>
    </xf>
    <xf numFmtId="4" fontId="13" fillId="0" borderId="196" xfId="1" applyNumberFormat="1" applyFont="1" applyBorder="1" applyAlignment="1">
      <alignment horizontal="left" vertical="top" wrapText="1"/>
    </xf>
    <xf numFmtId="2" fontId="19" fillId="0" borderId="197" xfId="1" applyNumberFormat="1" applyFont="1" applyBorder="1" applyAlignment="1">
      <alignment horizontal="left" vertical="top"/>
    </xf>
    <xf numFmtId="2" fontId="19" fillId="0" borderId="198" xfId="1" applyNumberFormat="1" applyFont="1" applyBorder="1" applyAlignment="1">
      <alignment horizontal="left" vertical="top"/>
    </xf>
    <xf numFmtId="0" fontId="11" fillId="0" borderId="199" xfId="1" applyFont="1" applyBorder="1" applyAlignment="1">
      <alignment horizontal="left" vertical="top" wrapText="1"/>
    </xf>
    <xf numFmtId="3" fontId="11" fillId="0" borderId="198" xfId="1" applyNumberFormat="1" applyFont="1" applyBorder="1" applyAlignment="1">
      <alignment horizontal="right" vertical="top" wrapText="1"/>
    </xf>
    <xf numFmtId="3" fontId="11" fillId="0" borderId="200" xfId="1" applyNumberFormat="1" applyFont="1" applyBorder="1" applyAlignment="1">
      <alignment horizontal="right" vertical="top" wrapText="1"/>
    </xf>
    <xf numFmtId="164" fontId="23" fillId="0" borderId="200" xfId="1" applyNumberFormat="1" applyFont="1" applyBorder="1" applyAlignment="1">
      <alignment horizontal="right" vertical="top"/>
    </xf>
    <xf numFmtId="3" fontId="11" fillId="0" borderId="200" xfId="1" applyNumberFormat="1" applyFont="1" applyBorder="1" applyAlignment="1">
      <alignment horizontal="center" vertical="top" wrapText="1"/>
    </xf>
    <xf numFmtId="3" fontId="14" fillId="0" borderId="201" xfId="1" applyNumberFormat="1" applyFont="1" applyBorder="1" applyAlignment="1">
      <alignment horizontal="left" vertical="top" wrapText="1"/>
    </xf>
    <xf numFmtId="0" fontId="18" fillId="8" borderId="202" xfId="1" applyFont="1" applyFill="1" applyBorder="1" applyAlignment="1">
      <alignment horizontal="left" vertical="top"/>
    </xf>
    <xf numFmtId="0" fontId="19" fillId="8" borderId="203" xfId="1" applyFont="1" applyFill="1" applyBorder="1" applyAlignment="1">
      <alignment horizontal="left" vertical="top"/>
    </xf>
    <xf numFmtId="0" fontId="11" fillId="9" borderId="203" xfId="1" applyFont="1" applyFill="1" applyBorder="1" applyAlignment="1">
      <alignment horizontal="left" vertical="top"/>
    </xf>
    <xf numFmtId="2" fontId="11" fillId="9" borderId="203" xfId="1" applyNumberFormat="1" applyFont="1" applyFill="1" applyBorder="1" applyAlignment="1">
      <alignment vertical="top"/>
    </xf>
    <xf numFmtId="164" fontId="11" fillId="9" borderId="203" xfId="1" applyNumberFormat="1" applyFont="1" applyFill="1" applyBorder="1" applyAlignment="1">
      <alignment vertical="top"/>
    </xf>
    <xf numFmtId="164" fontId="13" fillId="9" borderId="204" xfId="1" applyNumberFormat="1" applyFont="1" applyFill="1" applyBorder="1" applyAlignment="1">
      <alignment horizontal="left" vertical="top" wrapText="1"/>
    </xf>
    <xf numFmtId="0" fontId="10" fillId="0" borderId="189" xfId="1" applyFont="1" applyBorder="1" applyAlignment="1">
      <alignment horizontal="center"/>
    </xf>
    <xf numFmtId="0" fontId="13" fillId="0" borderId="190" xfId="1" applyFont="1" applyBorder="1" applyAlignment="1">
      <alignment horizontal="center" vertical="top"/>
    </xf>
    <xf numFmtId="3" fontId="21" fillId="0" borderId="190" xfId="1" applyNumberFormat="1" applyFont="1" applyBorder="1" applyAlignment="1">
      <alignment horizontal="center" vertical="top"/>
    </xf>
    <xf numFmtId="3" fontId="10" fillId="0" borderId="190" xfId="1" applyNumberFormat="1" applyFont="1" applyBorder="1" applyAlignment="1">
      <alignment horizontal="center" vertical="top" wrapText="1"/>
    </xf>
    <xf numFmtId="0" fontId="21" fillId="0" borderId="190" xfId="1" applyFont="1" applyBorder="1" applyAlignment="1">
      <alignment horizontal="center" vertical="top"/>
    </xf>
    <xf numFmtId="3" fontId="10" fillId="10" borderId="190" xfId="1" applyNumberFormat="1" applyFont="1" applyFill="1" applyBorder="1" applyAlignment="1">
      <alignment horizontal="center" vertical="top"/>
    </xf>
    <xf numFmtId="3" fontId="22" fillId="0" borderId="191" xfId="1" applyNumberFormat="1" applyFont="1" applyBorder="1" applyAlignment="1">
      <alignment horizontal="left" vertical="top" wrapText="1"/>
    </xf>
    <xf numFmtId="3" fontId="21" fillId="0" borderId="190" xfId="1" applyNumberFormat="1" applyFont="1" applyBorder="1" applyAlignment="1">
      <alignment horizontal="center" vertical="top" wrapText="1"/>
    </xf>
    <xf numFmtId="0" fontId="21" fillId="2" borderId="190" xfId="1" applyFont="1" applyFill="1" applyBorder="1" applyAlignment="1">
      <alignment horizontal="center" vertical="top"/>
    </xf>
    <xf numFmtId="3" fontId="21" fillId="2" borderId="190" xfId="1" applyNumberFormat="1" applyFont="1" applyFill="1" applyBorder="1" applyAlignment="1">
      <alignment horizontal="center" vertical="top"/>
    </xf>
    <xf numFmtId="3" fontId="11" fillId="0" borderId="205" xfId="1" applyNumberFormat="1" applyFont="1" applyBorder="1" applyAlignment="1">
      <alignment horizontal="right" vertical="top" wrapText="1"/>
    </xf>
    <xf numFmtId="0" fontId="11" fillId="0" borderId="206" xfId="1" applyFont="1" applyBorder="1" applyAlignment="1">
      <alignment horizontal="left" vertical="top" wrapText="1"/>
    </xf>
    <xf numFmtId="3" fontId="11" fillId="0" borderId="207" xfId="1" applyNumberFormat="1" applyFont="1" applyBorder="1" applyAlignment="1">
      <alignment horizontal="right" vertical="top" wrapText="1"/>
    </xf>
    <xf numFmtId="3" fontId="11" fillId="0" borderId="208" xfId="1" applyNumberFormat="1" applyFont="1" applyBorder="1" applyAlignment="1">
      <alignment horizontal="right" vertical="top" wrapText="1"/>
    </xf>
    <xf numFmtId="164" fontId="23" fillId="0" borderId="208" xfId="1" applyNumberFormat="1" applyFont="1" applyBorder="1" applyAlignment="1">
      <alignment horizontal="right" vertical="top"/>
    </xf>
    <xf numFmtId="3" fontId="11" fillId="0" borderId="208" xfId="1" applyNumberFormat="1" applyFont="1" applyBorder="1" applyAlignment="1">
      <alignment horizontal="center" vertical="top" wrapText="1"/>
    </xf>
    <xf numFmtId="3" fontId="14" fillId="0" borderId="209" xfId="1" applyNumberFormat="1" applyFont="1" applyBorder="1" applyAlignment="1">
      <alignment horizontal="left" vertical="top" wrapText="1"/>
    </xf>
    <xf numFmtId="0" fontId="10" fillId="0" borderId="189" xfId="1" applyFont="1" applyBorder="1" applyAlignment="1">
      <alignment horizontal="left" vertical="top"/>
    </xf>
    <xf numFmtId="0" fontId="13" fillId="0" borderId="190" xfId="1" applyFont="1" applyBorder="1" applyAlignment="1">
      <alignment horizontal="center" vertical="center"/>
    </xf>
    <xf numFmtId="3" fontId="21" fillId="0" borderId="190" xfId="1" applyNumberFormat="1" applyFont="1" applyBorder="1" applyAlignment="1">
      <alignment horizontal="center" vertical="center"/>
    </xf>
    <xf numFmtId="164" fontId="10" fillId="9" borderId="204" xfId="1" applyNumberFormat="1" applyFont="1" applyFill="1" applyBorder="1" applyAlignment="1">
      <alignment horizontal="left" vertical="top" wrapText="1"/>
    </xf>
    <xf numFmtId="0" fontId="21" fillId="0" borderId="191" xfId="1" applyFont="1" applyBorder="1" applyAlignment="1">
      <alignment horizontal="left" vertical="top" wrapText="1"/>
    </xf>
    <xf numFmtId="4" fontId="11" fillId="0" borderId="195" xfId="1" applyNumberFormat="1" applyFont="1" applyBorder="1" applyAlignment="1">
      <alignment horizontal="center" vertical="top" wrapText="1"/>
    </xf>
    <xf numFmtId="4" fontId="11" fillId="0" borderId="196" xfId="1" applyNumberFormat="1" applyFont="1" applyBorder="1" applyAlignment="1">
      <alignment horizontal="center" vertical="top" wrapText="1"/>
    </xf>
    <xf numFmtId="2" fontId="19" fillId="0" borderId="210" xfId="1" applyNumberFormat="1" applyFont="1" applyBorder="1" applyAlignment="1">
      <alignment horizontal="left" vertical="top"/>
    </xf>
    <xf numFmtId="2" fontId="19" fillId="0" borderId="211" xfId="1" applyNumberFormat="1" applyFont="1" applyBorder="1" applyAlignment="1">
      <alignment horizontal="left" vertical="top"/>
    </xf>
    <xf numFmtId="0" fontId="11" fillId="0" borderId="212" xfId="1" applyFont="1" applyBorder="1" applyAlignment="1">
      <alignment horizontal="left" vertical="top" wrapText="1"/>
    </xf>
    <xf numFmtId="3" fontId="11" fillId="0" borderId="213" xfId="1" applyNumberFormat="1" applyFont="1" applyBorder="1" applyAlignment="1">
      <alignment horizontal="right" vertical="top" wrapText="1"/>
    </xf>
    <xf numFmtId="3" fontId="11" fillId="0" borderId="214" xfId="1" applyNumberFormat="1" applyFont="1" applyBorder="1" applyAlignment="1">
      <alignment horizontal="right" vertical="top" wrapText="1"/>
    </xf>
    <xf numFmtId="164" fontId="23" fillId="0" borderId="214" xfId="1" applyNumberFormat="1" applyFont="1" applyBorder="1" applyAlignment="1">
      <alignment horizontal="right" vertical="top"/>
    </xf>
    <xf numFmtId="3" fontId="11" fillId="0" borderId="214" xfId="1" applyNumberFormat="1" applyFont="1" applyBorder="1" applyAlignment="1">
      <alignment horizontal="center" vertical="top" wrapText="1"/>
    </xf>
    <xf numFmtId="3" fontId="11" fillId="0" borderId="215" xfId="1" applyNumberFormat="1" applyFont="1" applyBorder="1" applyAlignment="1">
      <alignment horizontal="center" vertical="top" wrapText="1"/>
    </xf>
    <xf numFmtId="1" fontId="38" fillId="4" borderId="160" xfId="2" applyNumberFormat="1" applyFont="1" applyFill="1" applyBorder="1" applyAlignment="1">
      <alignment horizontal="center" wrapText="1"/>
    </xf>
    <xf numFmtId="1" fontId="36" fillId="4" borderId="161" xfId="2" applyNumberFormat="1" applyFont="1" applyFill="1" applyBorder="1" applyAlignment="1">
      <alignment horizontal="left" vertical="top" wrapText="1"/>
    </xf>
    <xf numFmtId="0" fontId="10" fillId="2" borderId="216" xfId="2" applyFont="1" applyFill="1" applyBorder="1" applyAlignment="1">
      <alignment vertical="top"/>
    </xf>
    <xf numFmtId="0" fontId="10" fillId="2" borderId="217" xfId="2" applyFont="1" applyFill="1" applyBorder="1" applyAlignment="1">
      <alignment vertical="top"/>
    </xf>
    <xf numFmtId="0" fontId="11" fillId="2" borderId="218" xfId="2" applyFont="1" applyFill="1" applyBorder="1" applyAlignment="1">
      <alignment horizontal="right" vertical="top"/>
    </xf>
    <xf numFmtId="2" fontId="12" fillId="2" borderId="218" xfId="2" applyNumberFormat="1" applyFont="1" applyFill="1" applyBorder="1" applyAlignment="1">
      <alignment horizontal="right" vertical="top"/>
    </xf>
    <xf numFmtId="164" fontId="13" fillId="2" borderId="219" xfId="2" applyNumberFormat="1" applyFont="1" applyFill="1" applyBorder="1" applyAlignment="1">
      <alignment horizontal="left" vertical="top"/>
    </xf>
    <xf numFmtId="164" fontId="10" fillId="2" borderId="218" xfId="2" applyNumberFormat="1" applyFont="1" applyFill="1" applyBorder="1" applyAlignment="1">
      <alignment horizontal="left" vertical="top"/>
    </xf>
    <xf numFmtId="164" fontId="10" fillId="2" borderId="220" xfId="2" applyNumberFormat="1" applyFont="1" applyFill="1" applyBorder="1" applyAlignment="1">
      <alignment horizontal="left" vertical="top" wrapText="1"/>
    </xf>
    <xf numFmtId="0" fontId="10" fillId="2" borderId="221" xfId="2" applyFont="1" applyFill="1" applyBorder="1" applyAlignment="1">
      <alignment vertical="top"/>
    </xf>
    <xf numFmtId="0" fontId="10" fillId="2" borderId="222" xfId="2" applyFont="1" applyFill="1" applyBorder="1" applyAlignment="1">
      <alignment vertical="top"/>
    </xf>
    <xf numFmtId="0" fontId="11" fillId="2" borderId="219" xfId="2" applyFont="1" applyFill="1" applyBorder="1" applyAlignment="1">
      <alignment horizontal="right" vertical="top"/>
    </xf>
    <xf numFmtId="164" fontId="10" fillId="2" borderId="219" xfId="2" applyNumberFormat="1" applyFont="1" applyFill="1" applyBorder="1" applyAlignment="1">
      <alignment horizontal="left" vertical="top"/>
    </xf>
    <xf numFmtId="0" fontId="10" fillId="2" borderId="223" xfId="2" applyFont="1" applyFill="1" applyBorder="1" applyAlignment="1">
      <alignment vertical="top"/>
    </xf>
    <xf numFmtId="0" fontId="10" fillId="2" borderId="224" xfId="2" applyFont="1" applyFill="1" applyBorder="1" applyAlignment="1">
      <alignment vertical="top"/>
    </xf>
    <xf numFmtId="3" fontId="14" fillId="2" borderId="225" xfId="2" applyNumberFormat="1" applyFont="1" applyFill="1" applyBorder="1" applyAlignment="1">
      <alignment horizontal="right" vertical="top"/>
    </xf>
    <xf numFmtId="164" fontId="13" fillId="2" borderId="225" xfId="2" applyNumberFormat="1" applyFont="1" applyFill="1" applyBorder="1" applyAlignment="1">
      <alignment horizontal="left" vertical="top"/>
    </xf>
    <xf numFmtId="14" fontId="15" fillId="2" borderId="225" xfId="2" applyNumberFormat="1" applyFont="1" applyFill="1" applyBorder="1" applyAlignment="1">
      <alignment horizontal="center" vertical="top"/>
    </xf>
    <xf numFmtId="164" fontId="14" fillId="2" borderId="225" xfId="2" applyNumberFormat="1" applyFont="1" applyFill="1" applyBorder="1" applyAlignment="1">
      <alignment horizontal="center" vertical="top"/>
    </xf>
    <xf numFmtId="164" fontId="16" fillId="5" borderId="226" xfId="2" applyNumberFormat="1" applyFont="1" applyFill="1" applyBorder="1" applyAlignment="1">
      <alignment horizontal="left" vertical="top"/>
    </xf>
    <xf numFmtId="164" fontId="16" fillId="5" borderId="227" xfId="2" applyNumberFormat="1" applyFont="1" applyFill="1" applyBorder="1" applyAlignment="1">
      <alignment horizontal="left" vertical="top"/>
    </xf>
    <xf numFmtId="164" fontId="17" fillId="5" borderId="227" xfId="2" applyNumberFormat="1" applyFont="1" applyFill="1" applyBorder="1" applyAlignment="1">
      <alignment horizontal="center" vertical="top" wrapText="1"/>
    </xf>
    <xf numFmtId="164" fontId="17" fillId="5" borderId="228" xfId="2" applyNumberFormat="1" applyFont="1" applyFill="1" applyBorder="1" applyAlignment="1">
      <alignment horizontal="center" vertical="top" wrapText="1"/>
    </xf>
    <xf numFmtId="0" fontId="18" fillId="8" borderId="229" xfId="2" applyFont="1" applyFill="1" applyBorder="1" applyAlignment="1">
      <alignment horizontal="left" vertical="top"/>
    </xf>
    <xf numFmtId="164" fontId="13" fillId="9" borderId="25" xfId="2" applyNumberFormat="1" applyFont="1" applyFill="1" applyBorder="1" applyAlignment="1">
      <alignment horizontal="left" vertical="top" wrapText="1"/>
    </xf>
    <xf numFmtId="2" fontId="19" fillId="0" borderId="226" xfId="2" applyNumberFormat="1" applyFont="1" applyBorder="1" applyAlignment="1">
      <alignment horizontal="left" vertical="top"/>
    </xf>
    <xf numFmtId="2" fontId="19" fillId="0" borderId="227" xfId="2" applyNumberFormat="1" applyFont="1" applyBorder="1" applyAlignment="1">
      <alignment horizontal="left" vertical="top"/>
    </xf>
    <xf numFmtId="0" fontId="10" fillId="0" borderId="227" xfId="2" applyFont="1" applyBorder="1" applyAlignment="1">
      <alignment horizontal="left" vertical="center"/>
    </xf>
    <xf numFmtId="0" fontId="10" fillId="0" borderId="227" xfId="2" applyFont="1" applyBorder="1" applyAlignment="1">
      <alignment vertical="top"/>
    </xf>
    <xf numFmtId="0" fontId="21" fillId="0" borderId="230" xfId="2" applyFont="1" applyBorder="1" applyAlignment="1">
      <alignment horizontal="center" vertical="center"/>
    </xf>
    <xf numFmtId="3" fontId="21" fillId="0" borderId="230" xfId="2" applyNumberFormat="1" applyFont="1" applyBorder="1" applyAlignment="1">
      <alignment horizontal="center" vertical="center"/>
    </xf>
    <xf numFmtId="0" fontId="10" fillId="0" borderId="230" xfId="2" applyFont="1" applyBorder="1" applyAlignment="1">
      <alignment horizontal="center" vertical="center"/>
    </xf>
    <xf numFmtId="3" fontId="22" fillId="0" borderId="228" xfId="2" applyNumberFormat="1" applyFont="1" applyBorder="1" applyAlignment="1">
      <alignment horizontal="left" vertical="top" wrapText="1"/>
    </xf>
    <xf numFmtId="2" fontId="19" fillId="0" borderId="231" xfId="2" applyNumberFormat="1" applyFont="1" applyBorder="1" applyAlignment="1">
      <alignment horizontal="left" vertical="top"/>
    </xf>
    <xf numFmtId="2" fontId="19" fillId="0" borderId="232" xfId="2" applyNumberFormat="1" applyFont="1" applyBorder="1" applyAlignment="1">
      <alignment horizontal="left" vertical="top"/>
    </xf>
    <xf numFmtId="0" fontId="11" fillId="0" borderId="233" xfId="2" applyFont="1" applyBorder="1" applyAlignment="1">
      <alignment horizontal="left" vertical="top" wrapText="1"/>
    </xf>
    <xf numFmtId="3" fontId="11" fillId="0" borderId="232" xfId="2" applyNumberFormat="1" applyFont="1" applyBorder="1" applyAlignment="1">
      <alignment horizontal="right" vertical="top" wrapText="1"/>
    </xf>
    <xf numFmtId="3" fontId="11" fillId="0" borderId="234" xfId="2" applyNumberFormat="1" applyFont="1" applyBorder="1" applyAlignment="1">
      <alignment horizontal="right" vertical="top" wrapText="1"/>
    </xf>
    <xf numFmtId="164" fontId="23" fillId="0" borderId="234" xfId="2" applyNumberFormat="1" applyFont="1" applyBorder="1" applyAlignment="1">
      <alignment horizontal="right" vertical="top"/>
    </xf>
    <xf numFmtId="4" fontId="15" fillId="0" borderId="234" xfId="2" applyNumberFormat="1" applyFont="1" applyBorder="1" applyAlignment="1">
      <alignment horizontal="center" vertical="top" wrapText="1"/>
    </xf>
    <xf numFmtId="4" fontId="13" fillId="0" borderId="235" xfId="2" applyNumberFormat="1" applyFont="1" applyBorder="1" applyAlignment="1">
      <alignment horizontal="left" vertical="top" wrapText="1"/>
    </xf>
    <xf numFmtId="2" fontId="19" fillId="0" borderId="236" xfId="2" applyNumberFormat="1" applyFont="1" applyBorder="1" applyAlignment="1">
      <alignment vertical="top"/>
    </xf>
    <xf numFmtId="2" fontId="19" fillId="0" borderId="237" xfId="2" applyNumberFormat="1" applyFont="1" applyBorder="1" applyAlignment="1">
      <alignment vertical="top"/>
    </xf>
    <xf numFmtId="0" fontId="11" fillId="0" borderId="238" xfId="2" applyFont="1" applyBorder="1" applyAlignment="1">
      <alignment horizontal="left" vertical="top" wrapText="1"/>
    </xf>
    <xf numFmtId="3" fontId="11" fillId="0" borderId="239" xfId="2" applyNumberFormat="1" applyFont="1" applyBorder="1" applyAlignment="1">
      <alignment horizontal="right" vertical="top" wrapText="1"/>
    </xf>
    <xf numFmtId="3" fontId="11" fillId="0" borderId="240" xfId="2" applyNumberFormat="1" applyFont="1" applyBorder="1" applyAlignment="1">
      <alignment horizontal="right" vertical="top" wrapText="1"/>
    </xf>
    <xf numFmtId="164" fontId="23" fillId="0" borderId="240" xfId="2" applyNumberFormat="1" applyFont="1" applyBorder="1" applyAlignment="1">
      <alignment horizontal="right" vertical="top"/>
    </xf>
    <xf numFmtId="3" fontId="11" fillId="0" borderId="240" xfId="2" applyNumberFormat="1" applyFont="1" applyBorder="1" applyAlignment="1">
      <alignment horizontal="center" vertical="top" wrapText="1"/>
    </xf>
    <xf numFmtId="3" fontId="14" fillId="0" borderId="241" xfId="2" applyNumberFormat="1" applyFont="1" applyBorder="1" applyAlignment="1">
      <alignment horizontal="left" vertical="top" wrapText="1"/>
    </xf>
    <xf numFmtId="1" fontId="38" fillId="4" borderId="242" xfId="2" applyNumberFormat="1" applyFont="1" applyFill="1" applyBorder="1" applyAlignment="1">
      <alignment horizontal="center" wrapText="1"/>
    </xf>
    <xf numFmtId="1" fontId="40" fillId="4" borderId="243" xfId="2" applyNumberFormat="1" applyFont="1" applyFill="1" applyBorder="1" applyAlignment="1">
      <alignment horizontal="left" vertical="top" wrapText="1"/>
    </xf>
    <xf numFmtId="0" fontId="10" fillId="2" borderId="231" xfId="2" applyFont="1" applyFill="1" applyBorder="1" applyAlignment="1">
      <alignment vertical="top"/>
    </xf>
    <xf numFmtId="0" fontId="10" fillId="2" borderId="244" xfId="2" applyFont="1" applyFill="1" applyBorder="1" applyAlignment="1">
      <alignment vertical="top"/>
    </xf>
    <xf numFmtId="0" fontId="11" fillId="2" borderId="234" xfId="2" applyFont="1" applyFill="1" applyBorder="1" applyAlignment="1">
      <alignment horizontal="right" vertical="top"/>
    </xf>
    <xf numFmtId="2" fontId="12" fillId="2" borderId="234" xfId="2" applyNumberFormat="1" applyFont="1" applyFill="1" applyBorder="1" applyAlignment="1">
      <alignment horizontal="right" vertical="top"/>
    </xf>
    <xf numFmtId="164" fontId="13" fillId="2" borderId="245" xfId="2" applyNumberFormat="1" applyFont="1" applyFill="1" applyBorder="1" applyAlignment="1">
      <alignment horizontal="left" vertical="top"/>
    </xf>
    <xf numFmtId="164" fontId="10" fillId="2" borderId="234" xfId="2" applyNumberFormat="1" applyFont="1" applyFill="1" applyBorder="1" applyAlignment="1">
      <alignment horizontal="left" vertical="top"/>
    </xf>
    <xf numFmtId="0" fontId="10" fillId="2" borderId="246" xfId="2" applyFont="1" applyFill="1" applyBorder="1" applyAlignment="1">
      <alignment vertical="top"/>
    </xf>
    <xf numFmtId="0" fontId="10" fillId="2" borderId="247" xfId="2" applyFont="1" applyFill="1" applyBorder="1" applyAlignment="1">
      <alignment vertical="top"/>
    </xf>
    <xf numFmtId="0" fontId="11" fillId="2" borderId="245" xfId="2" applyFont="1" applyFill="1" applyBorder="1" applyAlignment="1">
      <alignment horizontal="right" vertical="top"/>
    </xf>
    <xf numFmtId="3" fontId="14" fillId="0" borderId="248" xfId="2" applyNumberFormat="1" applyFont="1" applyBorder="1" applyAlignment="1">
      <alignment horizontal="left" vertical="top" wrapText="1"/>
    </xf>
    <xf numFmtId="0" fontId="10" fillId="2" borderId="249" xfId="2" applyFont="1" applyFill="1" applyBorder="1" applyAlignment="1">
      <alignment vertical="top"/>
    </xf>
    <xf numFmtId="3" fontId="14" fillId="2" borderId="250" xfId="2" applyNumberFormat="1" applyFont="1" applyFill="1" applyBorder="1" applyAlignment="1">
      <alignment horizontal="right" vertical="top"/>
    </xf>
    <xf numFmtId="164" fontId="13" fillId="2" borderId="250" xfId="2" applyNumberFormat="1" applyFont="1" applyFill="1" applyBorder="1" applyAlignment="1">
      <alignment horizontal="left" vertical="top"/>
    </xf>
    <xf numFmtId="14" fontId="15" fillId="2" borderId="250" xfId="2" applyNumberFormat="1" applyFont="1" applyFill="1" applyBorder="1" applyAlignment="1">
      <alignment horizontal="center" vertical="top"/>
    </xf>
    <xf numFmtId="164" fontId="14" fillId="2" borderId="250" xfId="2" applyNumberFormat="1" applyFont="1" applyFill="1" applyBorder="1" applyAlignment="1">
      <alignment horizontal="center" vertical="top"/>
    </xf>
    <xf numFmtId="164" fontId="16" fillId="5" borderId="251" xfId="2" applyNumberFormat="1" applyFont="1" applyFill="1" applyBorder="1" applyAlignment="1">
      <alignment horizontal="left" vertical="top"/>
    </xf>
    <xf numFmtId="164" fontId="16" fillId="5" borderId="252" xfId="2" applyNumberFormat="1" applyFont="1" applyFill="1" applyBorder="1" applyAlignment="1">
      <alignment horizontal="left" vertical="top"/>
    </xf>
    <xf numFmtId="164" fontId="17" fillId="5" borderId="252" xfId="2" applyNumberFormat="1" applyFont="1" applyFill="1" applyBorder="1" applyAlignment="1">
      <alignment horizontal="center" vertical="top" wrapText="1"/>
    </xf>
    <xf numFmtId="164" fontId="17" fillId="5" borderId="253" xfId="2" applyNumberFormat="1" applyFont="1" applyFill="1" applyBorder="1" applyAlignment="1">
      <alignment horizontal="center" vertical="top" wrapText="1"/>
    </xf>
    <xf numFmtId="164" fontId="41" fillId="9" borderId="25" xfId="2" applyNumberFormat="1" applyFont="1" applyFill="1" applyBorder="1" applyAlignment="1">
      <alignment horizontal="left" vertical="top" wrapText="1"/>
    </xf>
    <xf numFmtId="2" fontId="19" fillId="0" borderId="251" xfId="2" applyNumberFormat="1" applyFont="1" applyBorder="1" applyAlignment="1">
      <alignment horizontal="left" vertical="top"/>
    </xf>
    <xf numFmtId="2" fontId="19" fillId="0" borderId="252" xfId="2" applyNumberFormat="1" applyFont="1" applyBorder="1" applyAlignment="1">
      <alignment horizontal="left" vertical="top"/>
    </xf>
    <xf numFmtId="0" fontId="10" fillId="0" borderId="252" xfId="2" applyFont="1" applyBorder="1" applyAlignment="1">
      <alignment horizontal="left" vertical="top"/>
    </xf>
    <xf numFmtId="0" fontId="10" fillId="0" borderId="252" xfId="2" applyFont="1" applyBorder="1" applyAlignment="1">
      <alignment horizontal="center"/>
    </xf>
    <xf numFmtId="0" fontId="21" fillId="0" borderId="254" xfId="2" applyFont="1" applyBorder="1" applyAlignment="1">
      <alignment horizontal="center" vertical="top"/>
    </xf>
    <xf numFmtId="3" fontId="10" fillId="0" borderId="254" xfId="2" applyNumberFormat="1" applyFont="1" applyBorder="1" applyAlignment="1">
      <alignment horizontal="center"/>
    </xf>
    <xf numFmtId="3" fontId="10" fillId="0" borderId="254" xfId="2" applyNumberFormat="1" applyFont="1" applyBorder="1" applyAlignment="1">
      <alignment horizontal="center" vertical="top"/>
    </xf>
    <xf numFmtId="3" fontId="21" fillId="0" borderId="253" xfId="2" applyNumberFormat="1" applyFont="1" applyBorder="1" applyAlignment="1">
      <alignment horizontal="left" vertical="top" wrapText="1"/>
    </xf>
    <xf numFmtId="0" fontId="10" fillId="0" borderId="252" xfId="2" applyFont="1" applyBorder="1" applyAlignment="1">
      <alignment vertical="top"/>
    </xf>
    <xf numFmtId="3" fontId="21" fillId="0" borderId="254" xfId="2" applyNumberFormat="1" applyFont="1" applyBorder="1" applyAlignment="1">
      <alignment horizontal="center" vertical="top"/>
    </xf>
    <xf numFmtId="0" fontId="10" fillId="0" borderId="254" xfId="2" applyFont="1" applyBorder="1" applyAlignment="1">
      <alignment horizontal="center" vertical="top"/>
    </xf>
    <xf numFmtId="3" fontId="21" fillId="0" borderId="255" xfId="2" applyNumberFormat="1" applyFont="1" applyBorder="1" applyAlignment="1">
      <alignment horizontal="left" vertical="top" wrapText="1"/>
    </xf>
    <xf numFmtId="0" fontId="21" fillId="0" borderId="252" xfId="2" applyFont="1" applyBorder="1" applyAlignment="1">
      <alignment horizontal="left" vertical="top"/>
    </xf>
    <xf numFmtId="0" fontId="10" fillId="0" borderId="253" xfId="2" applyFont="1" applyBorder="1" applyAlignment="1">
      <alignment horizontal="left" vertical="top" wrapText="1"/>
    </xf>
    <xf numFmtId="2" fontId="19" fillId="0" borderId="256" xfId="2" applyNumberFormat="1" applyFont="1" applyBorder="1" applyAlignment="1">
      <alignment horizontal="left" vertical="top"/>
    </xf>
    <xf numFmtId="2" fontId="19" fillId="0" borderId="257" xfId="2" applyNumberFormat="1" applyFont="1" applyBorder="1" applyAlignment="1">
      <alignment horizontal="left" vertical="top"/>
    </xf>
    <xf numFmtId="0" fontId="11" fillId="0" borderId="258" xfId="2" applyFont="1" applyBorder="1" applyAlignment="1">
      <alignment horizontal="left" vertical="top" wrapText="1"/>
    </xf>
    <xf numFmtId="3" fontId="11" fillId="0" borderId="257" xfId="2" applyNumberFormat="1" applyFont="1" applyBorder="1" applyAlignment="1">
      <alignment horizontal="right" vertical="top" wrapText="1"/>
    </xf>
    <xf numFmtId="3" fontId="11" fillId="0" borderId="259" xfId="2" applyNumberFormat="1" applyFont="1" applyBorder="1" applyAlignment="1">
      <alignment horizontal="right" vertical="top" wrapText="1"/>
    </xf>
    <xf numFmtId="164" fontId="23" fillId="0" borderId="259" xfId="2" applyNumberFormat="1" applyFont="1" applyBorder="1" applyAlignment="1">
      <alignment horizontal="right" vertical="top"/>
    </xf>
    <xf numFmtId="4" fontId="15" fillId="0" borderId="259" xfId="2" applyNumberFormat="1" applyFont="1" applyBorder="1" applyAlignment="1">
      <alignment horizontal="center" vertical="top" wrapText="1"/>
    </xf>
    <xf numFmtId="4" fontId="13" fillId="0" borderId="260" xfId="2" applyNumberFormat="1" applyFont="1" applyBorder="1" applyAlignment="1">
      <alignment horizontal="left" vertical="top" wrapText="1"/>
    </xf>
    <xf numFmtId="2" fontId="19" fillId="0" borderId="261" xfId="2" applyNumberFormat="1" applyFont="1" applyBorder="1" applyAlignment="1">
      <alignment horizontal="left" vertical="top"/>
    </xf>
    <xf numFmtId="2" fontId="19" fillId="0" borderId="262" xfId="2" applyNumberFormat="1" applyFont="1" applyBorder="1" applyAlignment="1">
      <alignment horizontal="left" vertical="top"/>
    </xf>
    <xf numFmtId="0" fontId="11" fillId="0" borderId="263" xfId="2" applyFont="1" applyBorder="1" applyAlignment="1">
      <alignment horizontal="left" vertical="top" wrapText="1"/>
    </xf>
    <xf numFmtId="3" fontId="11" fillId="0" borderId="262" xfId="2" applyNumberFormat="1" applyFont="1" applyBorder="1" applyAlignment="1">
      <alignment horizontal="right" vertical="top" wrapText="1"/>
    </xf>
    <xf numFmtId="3" fontId="11" fillId="0" borderId="264" xfId="2" applyNumberFormat="1" applyFont="1" applyBorder="1" applyAlignment="1">
      <alignment horizontal="right" vertical="top" wrapText="1"/>
    </xf>
    <xf numFmtId="164" fontId="23" fillId="0" borderId="264" xfId="2" applyNumberFormat="1" applyFont="1" applyBorder="1" applyAlignment="1">
      <alignment horizontal="right" vertical="top"/>
    </xf>
    <xf numFmtId="3" fontId="11" fillId="0" borderId="264" xfId="2" applyNumberFormat="1" applyFont="1" applyBorder="1" applyAlignment="1">
      <alignment horizontal="center" vertical="top" wrapText="1"/>
    </xf>
    <xf numFmtId="3" fontId="14" fillId="0" borderId="265" xfId="2" applyNumberFormat="1" applyFont="1" applyBorder="1" applyAlignment="1">
      <alignment horizontal="left" vertical="top" wrapText="1"/>
    </xf>
    <xf numFmtId="1" fontId="38" fillId="4" borderId="266" xfId="2" applyNumberFormat="1" applyFont="1" applyFill="1" applyBorder="1" applyAlignment="1">
      <alignment horizontal="center" wrapText="1"/>
    </xf>
    <xf numFmtId="1" fontId="38" fillId="4" borderId="267" xfId="2" applyNumberFormat="1" applyFont="1" applyFill="1" applyBorder="1" applyAlignment="1">
      <alignment horizontal="center" wrapText="1"/>
    </xf>
    <xf numFmtId="1" fontId="40" fillId="4" borderId="268" xfId="2" applyNumberFormat="1" applyFont="1" applyFill="1" applyBorder="1" applyAlignment="1">
      <alignment horizontal="left" vertical="top" wrapText="1"/>
    </xf>
    <xf numFmtId="0" fontId="10" fillId="2" borderId="256" xfId="2" applyFont="1" applyFill="1" applyBorder="1" applyAlignment="1">
      <alignment vertical="top"/>
    </xf>
    <xf numFmtId="0" fontId="10" fillId="2" borderId="269" xfId="2" applyFont="1" applyFill="1" applyBorder="1" applyAlignment="1">
      <alignment vertical="top"/>
    </xf>
    <xf numFmtId="0" fontId="11" fillId="2" borderId="259" xfId="2" applyFont="1" applyFill="1" applyBorder="1" applyAlignment="1">
      <alignment horizontal="right" vertical="top"/>
    </xf>
    <xf numFmtId="2" fontId="12" fillId="2" borderId="259" xfId="2" applyNumberFormat="1" applyFont="1" applyFill="1" applyBorder="1" applyAlignment="1">
      <alignment horizontal="right" vertical="top"/>
    </xf>
    <xf numFmtId="164" fontId="13" fillId="2" borderId="270" xfId="2" applyNumberFormat="1" applyFont="1" applyFill="1" applyBorder="1" applyAlignment="1">
      <alignment horizontal="left" vertical="top"/>
    </xf>
    <xf numFmtId="164" fontId="10" fillId="2" borderId="259" xfId="2" applyNumberFormat="1" applyFont="1" applyFill="1" applyBorder="1" applyAlignment="1">
      <alignment horizontal="left" vertical="top"/>
    </xf>
    <xf numFmtId="164" fontId="10" fillId="2" borderId="271" xfId="2" applyNumberFormat="1" applyFont="1" applyFill="1" applyBorder="1" applyAlignment="1">
      <alignment horizontal="left" vertical="top" wrapText="1"/>
    </xf>
    <xf numFmtId="0" fontId="10" fillId="2" borderId="272" xfId="2" applyFont="1" applyFill="1" applyBorder="1" applyAlignment="1">
      <alignment vertical="top"/>
    </xf>
    <xf numFmtId="0" fontId="10" fillId="2" borderId="273" xfId="2" applyFont="1" applyFill="1" applyBorder="1" applyAlignment="1">
      <alignment vertical="top"/>
    </xf>
    <xf numFmtId="0" fontId="11" fillId="2" borderId="270" xfId="2" applyFont="1" applyFill="1" applyBorder="1" applyAlignment="1">
      <alignment horizontal="right" vertical="top"/>
    </xf>
    <xf numFmtId="0" fontId="10" fillId="2" borderId="274" xfId="2" applyFont="1" applyFill="1" applyBorder="1" applyAlignment="1">
      <alignment vertical="top"/>
    </xf>
    <xf numFmtId="0" fontId="10" fillId="2" borderId="275" xfId="2" applyFont="1" applyFill="1" applyBorder="1" applyAlignment="1">
      <alignment vertical="top"/>
    </xf>
    <xf numFmtId="3" fontId="14" fillId="2" borderId="276" xfId="2" applyNumberFormat="1" applyFont="1" applyFill="1" applyBorder="1" applyAlignment="1">
      <alignment horizontal="right" vertical="top"/>
    </xf>
    <xf numFmtId="164" fontId="13" fillId="2" borderId="276" xfId="2" applyNumberFormat="1" applyFont="1" applyFill="1" applyBorder="1" applyAlignment="1">
      <alignment horizontal="left" vertical="top"/>
    </xf>
    <xf numFmtId="14" fontId="15" fillId="2" borderId="276" xfId="2" applyNumberFormat="1" applyFont="1" applyFill="1" applyBorder="1" applyAlignment="1">
      <alignment horizontal="center" vertical="top"/>
    </xf>
    <xf numFmtId="164" fontId="14" fillId="2" borderId="276" xfId="2" applyNumberFormat="1" applyFont="1" applyFill="1" applyBorder="1" applyAlignment="1">
      <alignment horizontal="center" vertical="top"/>
    </xf>
    <xf numFmtId="164" fontId="16" fillId="5" borderId="277" xfId="2" applyNumberFormat="1" applyFont="1" applyFill="1" applyBorder="1" applyAlignment="1">
      <alignment horizontal="left" vertical="top"/>
    </xf>
    <xf numFmtId="164" fontId="16" fillId="5" borderId="278" xfId="2" applyNumberFormat="1" applyFont="1" applyFill="1" applyBorder="1" applyAlignment="1">
      <alignment horizontal="left" vertical="top"/>
    </xf>
    <xf numFmtId="164" fontId="17" fillId="5" borderId="278" xfId="2" applyNumberFormat="1" applyFont="1" applyFill="1" applyBorder="1" applyAlignment="1">
      <alignment horizontal="center" vertical="top" wrapText="1"/>
    </xf>
    <xf numFmtId="164" fontId="17" fillId="5" borderId="279" xfId="2" applyNumberFormat="1" applyFont="1" applyFill="1" applyBorder="1" applyAlignment="1">
      <alignment horizontal="center" vertical="top" wrapText="1"/>
    </xf>
    <xf numFmtId="2" fontId="19" fillId="0" borderId="277" xfId="2" applyNumberFormat="1" applyFont="1" applyBorder="1" applyAlignment="1">
      <alignment horizontal="left" vertical="top"/>
    </xf>
    <xf numFmtId="2" fontId="19" fillId="0" borderId="278" xfId="2" applyNumberFormat="1" applyFont="1" applyBorder="1" applyAlignment="1">
      <alignment horizontal="left" vertical="top"/>
    </xf>
    <xf numFmtId="0" fontId="10" fillId="0" borderId="280" xfId="2" applyFont="1" applyBorder="1"/>
    <xf numFmtId="0" fontId="10" fillId="0" borderId="278" xfId="2" applyFont="1" applyBorder="1" applyAlignment="1">
      <alignment vertical="top"/>
    </xf>
    <xf numFmtId="0" fontId="21" fillId="0" borderId="281" xfId="2" applyFont="1" applyBorder="1" applyAlignment="1">
      <alignment horizontal="center" vertical="top"/>
    </xf>
    <xf numFmtId="0" fontId="10" fillId="0" borderId="281" xfId="2" applyFont="1" applyBorder="1" applyAlignment="1">
      <alignment horizontal="center" vertical="top"/>
    </xf>
    <xf numFmtId="0" fontId="21" fillId="0" borderId="282" xfId="2" applyFont="1" applyBorder="1" applyAlignment="1">
      <alignment wrapText="1"/>
    </xf>
    <xf numFmtId="0" fontId="10" fillId="0" borderId="283" xfId="2" applyFont="1" applyBorder="1"/>
    <xf numFmtId="0" fontId="10" fillId="0" borderId="284" xfId="2" applyFont="1" applyBorder="1" applyAlignment="1">
      <alignment horizontal="center"/>
    </xf>
    <xf numFmtId="3" fontId="10" fillId="0" borderId="281" xfId="2" applyNumberFormat="1" applyFont="1" applyBorder="1" applyAlignment="1">
      <alignment horizontal="center" vertical="top"/>
    </xf>
    <xf numFmtId="0" fontId="10" fillId="0" borderId="282" xfId="2" applyFont="1" applyBorder="1" applyAlignment="1">
      <alignment wrapText="1"/>
    </xf>
    <xf numFmtId="2" fontId="19" fillId="0" borderId="285" xfId="2" applyNumberFormat="1" applyFont="1" applyBorder="1" applyAlignment="1">
      <alignment horizontal="left" vertical="top"/>
    </xf>
    <xf numFmtId="2" fontId="19" fillId="0" borderId="286" xfId="2" applyNumberFormat="1" applyFont="1" applyBorder="1" applyAlignment="1">
      <alignment horizontal="left" vertical="top"/>
    </xf>
    <xf numFmtId="0" fontId="11" fillId="0" borderId="287" xfId="2" applyFont="1" applyBorder="1" applyAlignment="1">
      <alignment horizontal="left" vertical="top" wrapText="1"/>
    </xf>
    <xf numFmtId="3" fontId="11" fillId="0" borderId="286" xfId="2" applyNumberFormat="1" applyFont="1" applyBorder="1" applyAlignment="1">
      <alignment horizontal="right" vertical="top" wrapText="1"/>
    </xf>
    <xf numFmtId="3" fontId="11" fillId="0" borderId="288" xfId="2" applyNumberFormat="1" applyFont="1" applyBorder="1" applyAlignment="1">
      <alignment horizontal="right" vertical="top" wrapText="1"/>
    </xf>
    <xf numFmtId="164" fontId="23" fillId="0" borderId="288" xfId="2" applyNumberFormat="1" applyFont="1" applyBorder="1" applyAlignment="1">
      <alignment horizontal="right" vertical="top"/>
    </xf>
    <xf numFmtId="4" fontId="15" fillId="0" borderId="288" xfId="2" applyNumberFormat="1" applyFont="1" applyBorder="1" applyAlignment="1">
      <alignment horizontal="center" vertical="top" wrapText="1"/>
    </xf>
    <xf numFmtId="4" fontId="13" fillId="0" borderId="289" xfId="2" applyNumberFormat="1" applyFont="1" applyBorder="1" applyAlignment="1">
      <alignment horizontal="left" vertical="top" wrapText="1"/>
    </xf>
    <xf numFmtId="2" fontId="19" fillId="0" borderId="290" xfId="2" applyNumberFormat="1" applyFont="1" applyBorder="1" applyAlignment="1">
      <alignment horizontal="left" vertical="top"/>
    </xf>
    <xf numFmtId="2" fontId="19" fillId="0" borderId="291" xfId="2" applyNumberFormat="1" applyFont="1" applyBorder="1" applyAlignment="1">
      <alignment horizontal="left" vertical="top"/>
    </xf>
    <xf numFmtId="0" fontId="11" fillId="0" borderId="292" xfId="2" applyFont="1" applyBorder="1" applyAlignment="1">
      <alignment horizontal="left" vertical="top" wrapText="1"/>
    </xf>
    <xf numFmtId="3" fontId="11" fillId="0" borderId="291" xfId="2" applyNumberFormat="1" applyFont="1" applyBorder="1" applyAlignment="1">
      <alignment horizontal="right" vertical="top" wrapText="1"/>
    </xf>
    <xf numFmtId="3" fontId="11" fillId="0" borderId="293" xfId="2" applyNumberFormat="1" applyFont="1" applyBorder="1" applyAlignment="1">
      <alignment horizontal="right" vertical="top" wrapText="1"/>
    </xf>
    <xf numFmtId="164" fontId="23" fillId="0" borderId="293" xfId="2" applyNumberFormat="1" applyFont="1" applyBorder="1" applyAlignment="1">
      <alignment horizontal="right" vertical="top"/>
    </xf>
    <xf numFmtId="3" fontId="11" fillId="0" borderId="293" xfId="2" applyNumberFormat="1" applyFont="1" applyBorder="1" applyAlignment="1">
      <alignment horizontal="center" vertical="top" wrapText="1"/>
    </xf>
    <xf numFmtId="3" fontId="14" fillId="0" borderId="294" xfId="2" applyNumberFormat="1" applyFont="1" applyBorder="1" applyAlignment="1">
      <alignment horizontal="left" vertical="top" wrapText="1"/>
    </xf>
    <xf numFmtId="0" fontId="21" fillId="0" borderId="278" xfId="2" applyFont="1" applyBorder="1" applyAlignment="1">
      <alignment horizontal="left" vertical="top"/>
    </xf>
    <xf numFmtId="3" fontId="21" fillId="0" borderId="281" xfId="1" applyNumberFormat="1" applyFont="1" applyBorder="1" applyAlignment="1">
      <alignment horizontal="center" vertical="top" wrapText="1"/>
    </xf>
    <xf numFmtId="0" fontId="21" fillId="0" borderId="281" xfId="3" applyFont="1" applyBorder="1" applyAlignment="1">
      <alignment horizontal="center" vertical="top"/>
    </xf>
    <xf numFmtId="3" fontId="21" fillId="0" borderId="279" xfId="2" applyNumberFormat="1" applyFont="1" applyBorder="1" applyAlignment="1">
      <alignment horizontal="left" vertical="top" wrapText="1"/>
    </xf>
    <xf numFmtId="0" fontId="10" fillId="2" borderId="281" xfId="2" applyFont="1" applyFill="1" applyBorder="1" applyAlignment="1">
      <alignment horizontal="center" vertical="top"/>
    </xf>
    <xf numFmtId="0" fontId="21" fillId="0" borderId="281" xfId="7" applyFont="1" applyBorder="1" applyAlignment="1">
      <alignment horizontal="center" vertical="top"/>
    </xf>
    <xf numFmtId="0" fontId="21" fillId="0" borderId="281" xfId="5" applyFont="1" applyBorder="1" applyAlignment="1">
      <alignment horizontal="center" vertical="top"/>
    </xf>
    <xf numFmtId="0" fontId="21" fillId="0" borderId="281" xfId="6" applyFont="1" applyBorder="1" applyAlignment="1">
      <alignment horizontal="center" vertical="top"/>
    </xf>
    <xf numFmtId="2" fontId="15" fillId="0" borderId="277" xfId="2" applyNumberFormat="1" applyFont="1" applyBorder="1" applyAlignment="1">
      <alignment horizontal="left" vertical="top"/>
    </xf>
    <xf numFmtId="0" fontId="21" fillId="0" borderId="281" xfId="4" applyFont="1" applyBorder="1" applyAlignment="1">
      <alignment horizontal="center" vertical="top"/>
    </xf>
    <xf numFmtId="0" fontId="10" fillId="0" borderId="278" xfId="2" applyFont="1" applyBorder="1" applyAlignment="1">
      <alignment horizontal="center"/>
    </xf>
    <xf numFmtId="3" fontId="21" fillId="0" borderId="281" xfId="2" applyNumberFormat="1" applyFont="1" applyBorder="1" applyAlignment="1">
      <alignment horizontal="center" vertical="top"/>
    </xf>
    <xf numFmtId="3" fontId="21" fillId="0" borderId="281" xfId="2" applyNumberFormat="1" applyFont="1" applyBorder="1" applyAlignment="1">
      <alignment horizontal="center" vertical="top" wrapText="1"/>
    </xf>
    <xf numFmtId="0" fontId="10" fillId="2" borderId="278" xfId="2" applyFont="1" applyFill="1" applyBorder="1" applyAlignment="1">
      <alignment horizontal="center"/>
    </xf>
    <xf numFmtId="0" fontId="21" fillId="2" borderId="281" xfId="2" applyFont="1" applyFill="1" applyBorder="1" applyAlignment="1">
      <alignment horizontal="center" vertical="top"/>
    </xf>
    <xf numFmtId="3" fontId="21" fillId="2" borderId="281" xfId="2" applyNumberFormat="1" applyFont="1" applyFill="1" applyBorder="1" applyAlignment="1">
      <alignment horizontal="center" vertical="top"/>
    </xf>
    <xf numFmtId="3" fontId="10" fillId="0" borderId="281" xfId="2" applyNumberFormat="1" applyFont="1" applyBorder="1" applyAlignment="1">
      <alignment horizontal="center" vertical="top" wrapText="1"/>
    </xf>
    <xf numFmtId="3" fontId="11" fillId="0" borderId="295" xfId="2" applyNumberFormat="1" applyFont="1" applyBorder="1" applyAlignment="1">
      <alignment horizontal="right" vertical="top" wrapText="1"/>
    </xf>
    <xf numFmtId="0" fontId="11" fillId="0" borderId="296" xfId="2" applyFont="1" applyBorder="1" applyAlignment="1">
      <alignment horizontal="left" vertical="top" wrapText="1"/>
    </xf>
    <xf numFmtId="3" fontId="11" fillId="0" borderId="297" xfId="2" applyNumberFormat="1" applyFont="1" applyBorder="1" applyAlignment="1">
      <alignment horizontal="right" vertical="top" wrapText="1"/>
    </xf>
    <xf numFmtId="3" fontId="11" fillId="0" borderId="298" xfId="2" applyNumberFormat="1" applyFont="1" applyBorder="1" applyAlignment="1">
      <alignment horizontal="right" vertical="top" wrapText="1"/>
    </xf>
    <xf numFmtId="3" fontId="11" fillId="0" borderId="298" xfId="2" applyNumberFormat="1" applyFont="1" applyBorder="1" applyAlignment="1">
      <alignment horizontal="center" vertical="top" wrapText="1"/>
    </xf>
    <xf numFmtId="3" fontId="14" fillId="0" borderId="299" xfId="2" applyNumberFormat="1" applyFont="1" applyBorder="1" applyAlignment="1">
      <alignment horizontal="left" vertical="top" wrapText="1"/>
    </xf>
    <xf numFmtId="0" fontId="10" fillId="0" borderId="278" xfId="2" applyFont="1" applyBorder="1" applyAlignment="1">
      <alignment horizontal="left" vertical="top"/>
    </xf>
    <xf numFmtId="164" fontId="10" fillId="9" borderId="300" xfId="2" applyNumberFormat="1" applyFont="1" applyFill="1" applyBorder="1" applyAlignment="1">
      <alignment horizontal="left" vertical="top" wrapText="1"/>
    </xf>
    <xf numFmtId="4" fontId="11" fillId="0" borderId="288" xfId="2" applyNumberFormat="1" applyFont="1" applyBorder="1" applyAlignment="1">
      <alignment horizontal="center" vertical="top" wrapText="1"/>
    </xf>
    <xf numFmtId="4" fontId="11" fillId="0" borderId="289" xfId="2" applyNumberFormat="1" applyFont="1" applyBorder="1" applyAlignment="1">
      <alignment horizontal="center" vertical="top" wrapText="1"/>
    </xf>
    <xf numFmtId="2" fontId="19" fillId="0" borderId="301" xfId="2" applyNumberFormat="1" applyFont="1" applyBorder="1" applyAlignment="1">
      <alignment horizontal="left" vertical="top"/>
    </xf>
    <xf numFmtId="2" fontId="19" fillId="0" borderId="302" xfId="2" applyNumberFormat="1" applyFont="1" applyBorder="1" applyAlignment="1">
      <alignment horizontal="left" vertical="top"/>
    </xf>
    <xf numFmtId="0" fontId="11" fillId="0" borderId="303" xfId="2" applyFont="1" applyBorder="1" applyAlignment="1">
      <alignment horizontal="left" vertical="top" wrapText="1"/>
    </xf>
    <xf numFmtId="3" fontId="11" fillId="0" borderId="304" xfId="2" applyNumberFormat="1" applyFont="1" applyBorder="1" applyAlignment="1">
      <alignment horizontal="right" vertical="top" wrapText="1"/>
    </xf>
    <xf numFmtId="3" fontId="11" fillId="0" borderId="305" xfId="2" applyNumberFormat="1" applyFont="1" applyBorder="1" applyAlignment="1">
      <alignment horizontal="right" vertical="top" wrapText="1"/>
    </xf>
    <xf numFmtId="164" fontId="23" fillId="0" borderId="305" xfId="2" applyNumberFormat="1" applyFont="1" applyBorder="1" applyAlignment="1">
      <alignment horizontal="right" vertical="top"/>
    </xf>
    <xf numFmtId="3" fontId="11" fillId="0" borderId="305" xfId="2" applyNumberFormat="1" applyFont="1" applyBorder="1" applyAlignment="1">
      <alignment horizontal="center" vertical="top" wrapText="1"/>
    </xf>
    <xf numFmtId="3" fontId="14" fillId="0" borderId="306" xfId="2" applyNumberFormat="1" applyFont="1" applyBorder="1" applyAlignment="1">
      <alignment horizontal="left" vertical="top" wrapText="1"/>
    </xf>
    <xf numFmtId="1" fontId="38" fillId="4" borderId="307" xfId="2" applyNumberFormat="1" applyFont="1" applyFill="1" applyBorder="1" applyAlignment="1">
      <alignment horizontal="center" wrapText="1"/>
    </xf>
    <xf numFmtId="1" fontId="38" fillId="4" borderId="308" xfId="2" applyNumberFormat="1" applyFont="1" applyFill="1" applyBorder="1" applyAlignment="1">
      <alignment horizontal="center" wrapText="1"/>
    </xf>
    <xf numFmtId="1" fontId="39" fillId="4" borderId="300" xfId="2" applyNumberFormat="1" applyFont="1" applyFill="1" applyBorder="1" applyAlignment="1">
      <alignment horizontal="left" wrapText="1"/>
    </xf>
    <xf numFmtId="0" fontId="10" fillId="2" borderId="285" xfId="2" applyFont="1" applyFill="1" applyBorder="1" applyAlignment="1">
      <alignment vertical="top"/>
    </xf>
    <xf numFmtId="0" fontId="10" fillId="2" borderId="295" xfId="2" applyFont="1" applyFill="1" applyBorder="1" applyAlignment="1">
      <alignment vertical="top"/>
    </xf>
    <xf numFmtId="0" fontId="11" fillId="2" borderId="288" xfId="2" applyFont="1" applyFill="1" applyBorder="1" applyAlignment="1">
      <alignment horizontal="right" vertical="top"/>
    </xf>
    <xf numFmtId="2" fontId="12" fillId="2" borderId="288" xfId="2" applyNumberFormat="1" applyFont="1" applyFill="1" applyBorder="1" applyAlignment="1">
      <alignment horizontal="right" vertical="top"/>
    </xf>
    <xf numFmtId="164" fontId="13" fillId="2" borderId="309" xfId="2" applyNumberFormat="1" applyFont="1" applyFill="1" applyBorder="1" applyAlignment="1">
      <alignment horizontal="left" vertical="top"/>
    </xf>
    <xf numFmtId="164" fontId="10" fillId="2" borderId="288" xfId="2" applyNumberFormat="1" applyFont="1" applyFill="1" applyBorder="1" applyAlignment="1">
      <alignment horizontal="left" vertical="top"/>
    </xf>
    <xf numFmtId="0" fontId="10" fillId="2" borderId="310" xfId="2" applyFont="1" applyFill="1" applyBorder="1" applyAlignment="1">
      <alignment vertical="top"/>
    </xf>
    <xf numFmtId="0" fontId="10" fillId="2" borderId="311" xfId="2" applyFont="1" applyFill="1" applyBorder="1" applyAlignment="1">
      <alignment vertical="top"/>
    </xf>
    <xf numFmtId="0" fontId="11" fillId="2" borderId="309" xfId="2" applyFont="1" applyFill="1" applyBorder="1" applyAlignment="1">
      <alignment horizontal="right" vertical="top"/>
    </xf>
    <xf numFmtId="164" fontId="10" fillId="2" borderId="309" xfId="2" applyNumberFormat="1" applyFont="1" applyFill="1" applyBorder="1" applyAlignment="1">
      <alignment horizontal="left" vertical="top"/>
    </xf>
    <xf numFmtId="0" fontId="10" fillId="2" borderId="312" xfId="2" applyFont="1" applyFill="1" applyBorder="1" applyAlignment="1">
      <alignment vertical="top"/>
    </xf>
    <xf numFmtId="0" fontId="10" fillId="2" borderId="313" xfId="2" applyFont="1" applyFill="1" applyBorder="1" applyAlignment="1">
      <alignment vertical="top"/>
    </xf>
    <xf numFmtId="3" fontId="14" fillId="2" borderId="314" xfId="2" applyNumberFormat="1" applyFont="1" applyFill="1" applyBorder="1" applyAlignment="1">
      <alignment horizontal="right" vertical="top"/>
    </xf>
    <xf numFmtId="164" fontId="13" fillId="2" borderId="314" xfId="2" applyNumberFormat="1" applyFont="1" applyFill="1" applyBorder="1" applyAlignment="1">
      <alignment horizontal="left" vertical="top"/>
    </xf>
    <xf numFmtId="14" fontId="15" fillId="2" borderId="314" xfId="2" applyNumberFormat="1" applyFont="1" applyFill="1" applyBorder="1" applyAlignment="1">
      <alignment horizontal="center" vertical="top"/>
    </xf>
    <xf numFmtId="164" fontId="14" fillId="2" borderId="314" xfId="2" applyNumberFormat="1" applyFont="1" applyFill="1" applyBorder="1" applyAlignment="1">
      <alignment horizontal="center" vertical="top"/>
    </xf>
    <xf numFmtId="164" fontId="16" fillId="5" borderId="315" xfId="2" applyNumberFormat="1" applyFont="1" applyFill="1" applyBorder="1" applyAlignment="1">
      <alignment horizontal="left" vertical="top"/>
    </xf>
    <xf numFmtId="164" fontId="16" fillId="5" borderId="316" xfId="2" applyNumberFormat="1" applyFont="1" applyFill="1" applyBorder="1" applyAlignment="1">
      <alignment horizontal="left" vertical="top"/>
    </xf>
    <xf numFmtId="164" fontId="17" fillId="5" borderId="316" xfId="2" applyNumberFormat="1" applyFont="1" applyFill="1" applyBorder="1" applyAlignment="1">
      <alignment horizontal="center" vertical="top" wrapText="1"/>
    </xf>
    <xf numFmtId="164" fontId="17" fillId="5" borderId="317" xfId="2" applyNumberFormat="1" applyFont="1" applyFill="1" applyBorder="1" applyAlignment="1">
      <alignment horizontal="center" vertical="top" wrapText="1"/>
    </xf>
    <xf numFmtId="2" fontId="19" fillId="0" borderId="315" xfId="2" applyNumberFormat="1" applyFont="1" applyBorder="1" applyAlignment="1">
      <alignment horizontal="left" vertical="top"/>
    </xf>
    <xf numFmtId="2" fontId="19" fillId="0" borderId="316" xfId="2" applyNumberFormat="1" applyFont="1" applyBorder="1" applyAlignment="1">
      <alignment horizontal="left" vertical="top"/>
    </xf>
    <xf numFmtId="0" fontId="10" fillId="0" borderId="316" xfId="1" applyFont="1" applyBorder="1"/>
    <xf numFmtId="0" fontId="10" fillId="0" borderId="316" xfId="2" applyFont="1" applyBorder="1" applyAlignment="1">
      <alignment horizontal="center"/>
    </xf>
    <xf numFmtId="0" fontId="10" fillId="0" borderId="318" xfId="1" applyFont="1" applyBorder="1" applyAlignment="1">
      <alignment horizontal="center"/>
    </xf>
    <xf numFmtId="3" fontId="10" fillId="2" borderId="318" xfId="1" applyNumberFormat="1" applyFont="1" applyFill="1" applyBorder="1" applyAlignment="1">
      <alignment horizontal="center"/>
    </xf>
    <xf numFmtId="3" fontId="10" fillId="0" borderId="318" xfId="2" applyNumberFormat="1" applyFont="1" applyBorder="1" applyAlignment="1">
      <alignment horizontal="center" vertical="top"/>
    </xf>
    <xf numFmtId="3" fontId="21" fillId="0" borderId="317" xfId="2" applyNumberFormat="1" applyFont="1" applyBorder="1" applyAlignment="1">
      <alignment horizontal="left" vertical="top" wrapText="1"/>
    </xf>
    <xf numFmtId="3" fontId="10" fillId="0" borderId="318" xfId="1" applyNumberFormat="1" applyFont="1" applyBorder="1" applyAlignment="1">
      <alignment horizontal="center"/>
    </xf>
    <xf numFmtId="0" fontId="10" fillId="0" borderId="316" xfId="2" applyFont="1" applyBorder="1" applyAlignment="1">
      <alignment vertical="top"/>
    </xf>
    <xf numFmtId="0" fontId="21" fillId="0" borderId="318" xfId="1" applyFont="1" applyBorder="1" applyAlignment="1">
      <alignment horizontal="center"/>
    </xf>
    <xf numFmtId="0" fontId="10" fillId="0" borderId="318" xfId="2" applyFont="1" applyBorder="1" applyAlignment="1">
      <alignment horizontal="center" vertical="top"/>
    </xf>
    <xf numFmtId="0" fontId="10" fillId="0" borderId="316" xfId="1" applyFont="1" applyBorder="1" applyAlignment="1">
      <alignment vertical="top"/>
    </xf>
    <xf numFmtId="0" fontId="10" fillId="0" borderId="316" xfId="2" applyFont="1" applyBorder="1" applyAlignment="1">
      <alignment horizontal="center" vertical="top"/>
    </xf>
    <xf numFmtId="0" fontId="10" fillId="0" borderId="318" xfId="1" applyFont="1" applyBorder="1" applyAlignment="1">
      <alignment horizontal="center" vertical="top"/>
    </xf>
    <xf numFmtId="3" fontId="10" fillId="0" borderId="318" xfId="1" applyNumberFormat="1" applyFont="1" applyBorder="1" applyAlignment="1">
      <alignment horizontal="center" vertical="top"/>
    </xf>
    <xf numFmtId="0" fontId="10" fillId="0" borderId="316" xfId="1" applyFont="1" applyBorder="1" applyAlignment="1">
      <alignment vertical="center"/>
    </xf>
    <xf numFmtId="0" fontId="10" fillId="0" borderId="318" xfId="1" applyFont="1" applyBorder="1" applyAlignment="1">
      <alignment horizontal="center" vertical="center"/>
    </xf>
    <xf numFmtId="3" fontId="10" fillId="0" borderId="318" xfId="1" applyNumberFormat="1" applyFont="1" applyBorder="1" applyAlignment="1">
      <alignment horizontal="center" vertical="center"/>
    </xf>
    <xf numFmtId="3" fontId="10" fillId="0" borderId="318" xfId="2" applyNumberFormat="1" applyFont="1" applyBorder="1" applyAlignment="1">
      <alignment horizontal="center" vertical="center"/>
    </xf>
    <xf numFmtId="0" fontId="21" fillId="0" borderId="318" xfId="1" applyFont="1" applyBorder="1" applyAlignment="1">
      <alignment horizontal="center" vertical="top"/>
    </xf>
    <xf numFmtId="0" fontId="10" fillId="0" borderId="316" xfId="2" applyFont="1" applyBorder="1"/>
    <xf numFmtId="0" fontId="21" fillId="0" borderId="318" xfId="2" applyFont="1" applyBorder="1" applyAlignment="1">
      <alignment horizontal="center"/>
    </xf>
    <xf numFmtId="3" fontId="21" fillId="0" borderId="318" xfId="1" applyNumberFormat="1" applyFont="1" applyBorder="1" applyAlignment="1">
      <alignment horizontal="center" vertical="top"/>
    </xf>
    <xf numFmtId="3" fontId="21" fillId="0" borderId="319" xfId="2" applyNumberFormat="1" applyFont="1" applyBorder="1" applyAlignment="1">
      <alignment horizontal="left" vertical="top" wrapText="1"/>
    </xf>
    <xf numFmtId="0" fontId="10" fillId="0" borderId="316" xfId="2" applyFont="1" applyBorder="1" applyAlignment="1">
      <alignment horizontal="left" vertical="top"/>
    </xf>
    <xf numFmtId="3" fontId="21" fillId="0" borderId="318" xfId="2" applyNumberFormat="1" applyFont="1" applyBorder="1" applyAlignment="1">
      <alignment horizontal="center" vertical="top"/>
    </xf>
    <xf numFmtId="3" fontId="10" fillId="0" borderId="318" xfId="2" applyNumberFormat="1" applyFont="1" applyBorder="1" applyAlignment="1">
      <alignment horizontal="center" vertical="top" wrapText="1"/>
    </xf>
    <xf numFmtId="3" fontId="10" fillId="2" borderId="317" xfId="2" applyNumberFormat="1" applyFont="1" applyFill="1" applyBorder="1" applyAlignment="1">
      <alignment horizontal="left" vertical="top" wrapText="1"/>
    </xf>
    <xf numFmtId="0" fontId="21" fillId="0" borderId="316" xfId="2" applyFont="1" applyBorder="1" applyAlignment="1">
      <alignment horizontal="left" vertical="top"/>
    </xf>
    <xf numFmtId="0" fontId="21" fillId="0" borderId="318" xfId="2" applyFont="1" applyBorder="1" applyAlignment="1">
      <alignment horizontal="center" vertical="top"/>
    </xf>
    <xf numFmtId="3" fontId="21" fillId="0" borderId="318" xfId="2" applyNumberFormat="1" applyFont="1" applyBorder="1" applyAlignment="1">
      <alignment horizontal="center" vertical="top" wrapText="1"/>
    </xf>
    <xf numFmtId="2" fontId="19" fillId="0" borderId="320" xfId="2" applyNumberFormat="1" applyFont="1" applyBorder="1" applyAlignment="1">
      <alignment horizontal="left" vertical="top"/>
    </xf>
    <xf numFmtId="2" fontId="19" fillId="0" borderId="321" xfId="2" applyNumberFormat="1" applyFont="1" applyBorder="1" applyAlignment="1">
      <alignment horizontal="left" vertical="top"/>
    </xf>
    <xf numFmtId="0" fontId="11" fillId="0" borderId="322" xfId="2" applyFont="1" applyBorder="1" applyAlignment="1">
      <alignment horizontal="left" vertical="top" wrapText="1"/>
    </xf>
    <xf numFmtId="3" fontId="11" fillId="0" borderId="321" xfId="2" applyNumberFormat="1" applyFont="1" applyBorder="1" applyAlignment="1">
      <alignment horizontal="right" vertical="top" wrapText="1"/>
    </xf>
    <xf numFmtId="3" fontId="11" fillId="0" borderId="323" xfId="2" applyNumberFormat="1" applyFont="1" applyBorder="1" applyAlignment="1">
      <alignment horizontal="right" vertical="top" wrapText="1"/>
    </xf>
    <xf numFmtId="164" fontId="23" fillId="0" borderId="323" xfId="2" applyNumberFormat="1" applyFont="1" applyBorder="1" applyAlignment="1">
      <alignment horizontal="right" vertical="top"/>
    </xf>
    <xf numFmtId="4" fontId="15" fillId="0" borderId="323" xfId="2" applyNumberFormat="1" applyFont="1" applyBorder="1" applyAlignment="1">
      <alignment horizontal="center" vertical="top" wrapText="1"/>
    </xf>
    <xf numFmtId="4" fontId="13" fillId="0" borderId="324" xfId="2" applyNumberFormat="1" applyFont="1" applyBorder="1" applyAlignment="1">
      <alignment horizontal="left" vertical="top" wrapText="1"/>
    </xf>
    <xf numFmtId="2" fontId="19" fillId="0" borderId="325" xfId="2" applyNumberFormat="1" applyFont="1" applyBorder="1" applyAlignment="1">
      <alignment horizontal="left" vertical="top"/>
    </xf>
    <xf numFmtId="2" fontId="19" fillId="0" borderId="326" xfId="2" applyNumberFormat="1" applyFont="1" applyBorder="1" applyAlignment="1">
      <alignment horizontal="left" vertical="top"/>
    </xf>
    <xf numFmtId="0" fontId="11" fillId="0" borderId="327" xfId="2" applyFont="1" applyBorder="1" applyAlignment="1">
      <alignment horizontal="left" vertical="top" wrapText="1"/>
    </xf>
    <xf numFmtId="3" fontId="11" fillId="0" borderId="326" xfId="2" applyNumberFormat="1" applyFont="1" applyBorder="1" applyAlignment="1">
      <alignment horizontal="right" vertical="top" wrapText="1"/>
    </xf>
    <xf numFmtId="3" fontId="11" fillId="0" borderId="328" xfId="2" applyNumberFormat="1" applyFont="1" applyBorder="1" applyAlignment="1">
      <alignment horizontal="right" vertical="top" wrapText="1"/>
    </xf>
    <xf numFmtId="164" fontId="23" fillId="0" borderId="328" xfId="2" applyNumberFormat="1" applyFont="1" applyBorder="1" applyAlignment="1">
      <alignment horizontal="right" vertical="top"/>
    </xf>
    <xf numFmtId="3" fontId="11" fillId="0" borderId="328" xfId="2" applyNumberFormat="1" applyFont="1" applyBorder="1" applyAlignment="1">
      <alignment horizontal="center" vertical="top" wrapText="1"/>
    </xf>
    <xf numFmtId="3" fontId="14" fillId="0" borderId="329" xfId="2" applyNumberFormat="1" applyFont="1" applyBorder="1" applyAlignment="1">
      <alignment horizontal="left" vertical="top" wrapText="1"/>
    </xf>
  </cellXfs>
  <cellStyles count="8">
    <cellStyle name="Normal" xfId="0" builtinId="0"/>
    <cellStyle name="Normal 10" xfId="1" xr:uid="{212CA6E5-6840-4E57-8EE5-308789F40AC8}"/>
    <cellStyle name="Normal 2" xfId="2" xr:uid="{DCA8ED6C-0B00-4571-B3A7-A8A3EEB0787D}"/>
    <cellStyle name="Normal 32" xfId="3" xr:uid="{F7D79302-443A-4E87-8690-6712F7BB5729}"/>
    <cellStyle name="Normal 33" xfId="7" xr:uid="{A5671D06-985A-4922-97EF-AE64618D8A9D}"/>
    <cellStyle name="Normal 34" xfId="5" xr:uid="{2427F986-0FDC-463B-8402-D5825399DA64}"/>
    <cellStyle name="Normal 36" xfId="6" xr:uid="{7581B313-9213-451F-9630-053282F8B0AB}"/>
    <cellStyle name="Normal 37" xfId="4" xr:uid="{C8F92396-4BCF-414E-8934-713CCC79F5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mktg-bdc1\hdrc\Documents%20and%20Settings\pbrye\Desktop\Cape%20Fear\Modeler%20Record%20Copy\Facility%20Modeler\Modeler\Modeler%20Record%20Copy\Reid%20Hospital\Paul\Reid%20Modeler%2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mktg-bdc1\hdrc\ACCTG\REIMB\Cost%20Reports\2001\IMMC\Stats\sq_ft_Oct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mktg-bdc1\hdrc\Bob%209\23\0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heet"/>
      <sheetName val="A_InputLists"/>
      <sheetName val="Volume Forecast Summary"/>
      <sheetName val="A_SystemLabels"/>
      <sheetName val="FacilityModelerReport"/>
      <sheetName val="Amb Care Summary"/>
      <sheetName val="Amb Ctr Assignment"/>
      <sheetName val="AmbMktShr&amp;Volume"/>
      <sheetName val="Right Size Capacity 2000"/>
      <sheetName val="Right Size Capacity 2010 "/>
      <sheetName val="Baseline_MktDisch"/>
      <sheetName val="Baseline_ReidDisch"/>
      <sheetName val="Baseline_ReidlMktShare"/>
      <sheetName val="Forecast_MktDisch"/>
      <sheetName val="ForecastMktShare"/>
      <sheetName val="Forecast_ReidDisch"/>
      <sheetName val="Annual_AgeSexCounts"/>
      <sheetName val="UseRateAdjustmentPhase-In"/>
      <sheetName val="ServiceUnits&amp;Capacity"/>
      <sheetName val="C_MktUseRateSummary"/>
      <sheetName val="C_MktAreaUseRate"/>
      <sheetName val="C_ServLine_AgeSexRates"/>
      <sheetName val="W_ForecastAgeSexRates"/>
      <sheetName val="B_AgeSexRates"/>
      <sheetName val="B_BaselineDRGAgeSexPcts"/>
      <sheetName val="Baseline_DRGUseRates"/>
      <sheetName val="Select_AgeSexYear"/>
      <sheetName val="Annual_AgeSexPcts"/>
      <sheetName val="B_PtOriginWts"/>
      <sheetName val="Capacity Analysis 2000"/>
      <sheetName val="Capacity 2010 No Shift"/>
      <sheetName val="Capacity 2010 With Shif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SF"/>
      <sheetName val="CCSQFT"/>
      <sheetName val="Blank"/>
      <sheetName val="Burrwood"/>
      <sheetName val="Cogeneration"/>
      <sheetName val="East"/>
      <sheetName val="Education"/>
      <sheetName val="North"/>
      <sheetName val="Northeast"/>
      <sheetName val="SON"/>
      <sheetName val="Powell"/>
      <sheetName val="South"/>
      <sheetName val="Surgery"/>
      <sheetName val="Woodland"/>
      <sheetName val="Younker"/>
      <sheetName val="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C4CA-59E6-4604-BC9E-531FA9F54341}">
  <sheetPr>
    <tabColor theme="4" tint="0.39997558519241921"/>
    <pageSetUpPr fitToPage="1"/>
  </sheetPr>
  <dimension ref="A1:KD77"/>
  <sheetViews>
    <sheetView tabSelected="1" zoomScale="157" zoomScaleNormal="157" zoomScaleSheetLayoutView="140" workbookViewId="0">
      <selection activeCell="H73" sqref="H73:H74"/>
    </sheetView>
  </sheetViews>
  <sheetFormatPr defaultColWidth="9.140625" defaultRowHeight="11.25"/>
  <cols>
    <col min="1" max="1" width="6.42578125" style="36" customWidth="1"/>
    <col min="2" max="2" width="7.85546875" style="1" customWidth="1"/>
    <col min="3" max="3" width="32.5703125" style="1" customWidth="1"/>
    <col min="4" max="4" width="8.5703125" style="1" customWidth="1"/>
    <col min="5" max="5" width="10.7109375" style="1" customWidth="1"/>
    <col min="6" max="7" width="10.7109375" style="37" customWidth="1"/>
    <col min="8" max="8" width="30.7109375" style="37" customWidth="1"/>
    <col min="9" max="16384" width="9.140625" style="1"/>
  </cols>
  <sheetData>
    <row r="1" spans="1:10" ht="22.9" customHeight="1" thickBot="1">
      <c r="A1" s="188"/>
      <c r="B1" s="189"/>
      <c r="C1" s="189"/>
      <c r="D1" s="189"/>
      <c r="E1" s="189"/>
      <c r="F1" s="189"/>
      <c r="G1" s="189"/>
      <c r="H1" s="190"/>
    </row>
    <row r="2" spans="1:10" ht="18" customHeight="1">
      <c r="A2" s="2" t="s">
        <v>0</v>
      </c>
      <c r="B2" s="3"/>
      <c r="C2" s="4"/>
      <c r="D2" s="4"/>
      <c r="E2" s="4"/>
      <c r="F2" s="5"/>
      <c r="G2" s="5"/>
      <c r="H2" s="6"/>
    </row>
    <row r="3" spans="1:10" s="7" customFormat="1" ht="18" customHeight="1">
      <c r="A3" s="198"/>
      <c r="B3" s="139"/>
      <c r="C3" s="139"/>
      <c r="D3" s="139"/>
      <c r="E3" s="139"/>
      <c r="F3" s="139"/>
      <c r="G3" s="139"/>
      <c r="H3" s="199"/>
    </row>
    <row r="4" spans="1:10" ht="11.25" customHeight="1">
      <c r="A4" s="8"/>
      <c r="B4" s="9"/>
      <c r="C4" s="10" t="s">
        <v>1</v>
      </c>
      <c r="D4" s="11">
        <f>SUM(G16,G28,G53,G61,G69,G75)</f>
        <v>18314</v>
      </c>
      <c r="E4" s="12"/>
      <c r="F4" s="12"/>
      <c r="G4" s="12"/>
      <c r="H4" s="13"/>
    </row>
    <row r="5" spans="1:10" ht="11.25" customHeight="1">
      <c r="A5" s="173"/>
      <c r="B5" s="174"/>
      <c r="C5" s="175" t="s">
        <v>2</v>
      </c>
      <c r="D5" s="176">
        <v>1.5</v>
      </c>
      <c r="E5" s="177"/>
      <c r="F5" s="177"/>
      <c r="G5" s="178"/>
      <c r="H5" s="200"/>
    </row>
    <row r="6" spans="1:10" ht="18.75" customHeight="1">
      <c r="A6" s="179"/>
      <c r="B6" s="180"/>
      <c r="C6" s="181" t="s">
        <v>3</v>
      </c>
      <c r="D6" s="11">
        <f>D4*D5</f>
        <v>27471</v>
      </c>
      <c r="E6" s="177"/>
      <c r="F6" s="177"/>
      <c r="G6" s="201"/>
      <c r="H6" s="14"/>
    </row>
    <row r="7" spans="1:10" ht="11.25" customHeight="1">
      <c r="A7" s="182"/>
      <c r="B7" s="183"/>
      <c r="C7" s="15"/>
      <c r="D7" s="184"/>
      <c r="E7" s="185"/>
      <c r="F7" s="186"/>
      <c r="G7" s="187"/>
      <c r="H7" s="202"/>
    </row>
    <row r="8" spans="1:10" ht="12" customHeight="1">
      <c r="A8" s="203"/>
      <c r="B8" s="16"/>
      <c r="C8" s="16"/>
      <c r="D8" s="204"/>
      <c r="E8" s="205" t="s">
        <v>4</v>
      </c>
      <c r="F8" s="205" t="s">
        <v>5</v>
      </c>
      <c r="G8" s="205" t="s">
        <v>6</v>
      </c>
      <c r="H8" s="206" t="s">
        <v>7</v>
      </c>
    </row>
    <row r="9" spans="1:10" s="17" customFormat="1" ht="13.5">
      <c r="A9" s="207" t="s">
        <v>8</v>
      </c>
      <c r="B9" s="140"/>
      <c r="C9" s="141"/>
      <c r="D9" s="142"/>
      <c r="E9" s="142"/>
      <c r="F9" s="143"/>
      <c r="G9" s="143"/>
      <c r="H9" s="208"/>
      <c r="J9" s="1"/>
    </row>
    <row r="10" spans="1:10" s="17" customFormat="1" ht="13.5">
      <c r="A10" s="209"/>
      <c r="B10" s="210"/>
      <c r="C10" s="211" t="s">
        <v>9</v>
      </c>
      <c r="D10" s="212"/>
      <c r="E10" s="213"/>
      <c r="F10" s="214"/>
      <c r="G10" s="215"/>
      <c r="H10" s="216"/>
      <c r="J10" s="1"/>
    </row>
    <row r="11" spans="1:10" s="17" customFormat="1" ht="13.5">
      <c r="A11" s="18"/>
      <c r="B11" s="19"/>
      <c r="C11" s="20" t="s">
        <v>10</v>
      </c>
      <c r="D11" s="21"/>
      <c r="E11" s="217">
        <v>10</v>
      </c>
      <c r="F11" s="218">
        <v>20</v>
      </c>
      <c r="G11" s="219">
        <f>F11*E11</f>
        <v>200</v>
      </c>
      <c r="H11" s="22"/>
      <c r="J11" s="1"/>
    </row>
    <row r="12" spans="1:10" s="17" customFormat="1" ht="13.5">
      <c r="A12" s="209"/>
      <c r="B12" s="210"/>
      <c r="C12" s="211" t="s">
        <v>11</v>
      </c>
      <c r="D12" s="212"/>
      <c r="E12" s="220">
        <v>1</v>
      </c>
      <c r="F12" s="221">
        <v>40</v>
      </c>
      <c r="G12" s="222">
        <f>E12*F12</f>
        <v>40</v>
      </c>
      <c r="H12" s="223"/>
    </row>
    <row r="13" spans="1:10" s="17" customFormat="1" ht="13.5">
      <c r="A13" s="209"/>
      <c r="B13" s="210"/>
      <c r="C13" s="211" t="s">
        <v>12</v>
      </c>
      <c r="D13" s="212"/>
      <c r="E13" s="224">
        <v>2</v>
      </c>
      <c r="F13" s="225">
        <v>60</v>
      </c>
      <c r="G13" s="222">
        <f>E13*F13</f>
        <v>120</v>
      </c>
      <c r="H13" s="223"/>
    </row>
    <row r="14" spans="1:10" s="17" customFormat="1" ht="13.5">
      <c r="A14" s="209"/>
      <c r="B14" s="210"/>
      <c r="C14" s="211" t="s">
        <v>13</v>
      </c>
      <c r="D14" s="212"/>
      <c r="E14" s="224">
        <v>1</v>
      </c>
      <c r="F14" s="225">
        <v>60</v>
      </c>
      <c r="G14" s="222">
        <f>E14*F14</f>
        <v>60</v>
      </c>
      <c r="H14" s="223"/>
    </row>
    <row r="15" spans="1:10" s="17" customFormat="1" ht="13.5">
      <c r="A15" s="209"/>
      <c r="B15" s="210"/>
      <c r="C15" s="211" t="s">
        <v>14</v>
      </c>
      <c r="D15" s="212"/>
      <c r="E15" s="220">
        <v>1</v>
      </c>
      <c r="F15" s="226">
        <v>180</v>
      </c>
      <c r="G15" s="222">
        <v>180</v>
      </c>
      <c r="H15" s="223"/>
    </row>
    <row r="16" spans="1:10" s="17" customFormat="1" ht="11.25" customHeight="1">
      <c r="A16" s="23"/>
      <c r="B16" s="24"/>
      <c r="C16" s="25"/>
      <c r="D16" s="25"/>
      <c r="E16" s="26"/>
      <c r="F16" s="27" t="s">
        <v>15</v>
      </c>
      <c r="G16" s="28">
        <f>SUM(G11:G15)</f>
        <v>600</v>
      </c>
      <c r="H16" s="29"/>
    </row>
    <row r="17" spans="1:8" s="17" customFormat="1" ht="11.25" customHeight="1">
      <c r="A17" s="162"/>
      <c r="B17" s="163"/>
      <c r="C17" s="164"/>
      <c r="D17" s="165"/>
      <c r="E17" s="166"/>
      <c r="F17" s="27" t="s">
        <v>16</v>
      </c>
      <c r="G17" s="227">
        <v>1.5</v>
      </c>
      <c r="H17" s="228"/>
    </row>
    <row r="18" spans="1:8" s="17" customFormat="1" ht="11.25" customHeight="1">
      <c r="A18" s="229"/>
      <c r="B18" s="230"/>
      <c r="C18" s="231"/>
      <c r="D18" s="232"/>
      <c r="E18" s="233"/>
      <c r="F18" s="27" t="s">
        <v>17</v>
      </c>
      <c r="G18" s="234">
        <f>G16*G17</f>
        <v>900</v>
      </c>
      <c r="H18" s="235"/>
    </row>
    <row r="19" spans="1:8" s="17" customFormat="1" ht="13.5">
      <c r="A19" s="207" t="s">
        <v>18</v>
      </c>
      <c r="B19" s="140"/>
      <c r="C19" s="144"/>
      <c r="D19" s="142"/>
      <c r="E19" s="145"/>
      <c r="F19" s="143"/>
      <c r="G19" s="143"/>
      <c r="H19" s="236"/>
    </row>
    <row r="20" spans="1:8" s="17" customFormat="1" ht="13.5">
      <c r="A20" s="209"/>
      <c r="B20" s="210"/>
      <c r="C20" s="211" t="s">
        <v>19</v>
      </c>
      <c r="D20" s="212"/>
      <c r="E20" s="213">
        <v>31</v>
      </c>
      <c r="F20" s="220">
        <v>260</v>
      </c>
      <c r="G20" s="225">
        <f>E20*F20</f>
        <v>8060</v>
      </c>
      <c r="H20" s="237"/>
    </row>
    <row r="21" spans="1:8" s="17" customFormat="1" ht="13.5">
      <c r="A21" s="209"/>
      <c r="B21" s="210"/>
      <c r="C21" s="211" t="s">
        <v>20</v>
      </c>
      <c r="D21" s="212"/>
      <c r="E21" s="224">
        <v>4</v>
      </c>
      <c r="F21" s="220">
        <v>260</v>
      </c>
      <c r="G21" s="225">
        <f>E21*F21</f>
        <v>1040</v>
      </c>
      <c r="H21" s="237"/>
    </row>
    <row r="22" spans="1:8" s="17" customFormat="1" ht="13.5">
      <c r="A22" s="209"/>
      <c r="B22" s="210"/>
      <c r="C22" s="211" t="s">
        <v>21</v>
      </c>
      <c r="D22" s="238"/>
      <c r="E22" s="220">
        <v>5</v>
      </c>
      <c r="F22" s="220">
        <v>50</v>
      </c>
      <c r="G22" s="225">
        <f>E22*F22</f>
        <v>250</v>
      </c>
      <c r="H22" s="239"/>
    </row>
    <row r="23" spans="1:8" s="17" customFormat="1" ht="13.5">
      <c r="A23" s="209"/>
      <c r="B23" s="210"/>
      <c r="C23" s="211" t="s">
        <v>22</v>
      </c>
      <c r="D23" s="212"/>
      <c r="E23" s="224">
        <v>1</v>
      </c>
      <c r="F23" s="220">
        <v>340</v>
      </c>
      <c r="G23" s="225">
        <f t="shared" ref="G23:G27" si="0">E23*F23</f>
        <v>340</v>
      </c>
      <c r="H23" s="237"/>
    </row>
    <row r="24" spans="1:8" s="17" customFormat="1" ht="13.5">
      <c r="A24" s="240"/>
      <c r="B24" s="241"/>
      <c r="C24" s="211" t="s">
        <v>23</v>
      </c>
      <c r="D24" s="242"/>
      <c r="E24" s="213">
        <v>18</v>
      </c>
      <c r="F24" s="224">
        <v>20</v>
      </c>
      <c r="G24" s="225">
        <f t="shared" si="0"/>
        <v>360</v>
      </c>
      <c r="H24" s="239"/>
    </row>
    <row r="25" spans="1:8" s="17" customFormat="1" ht="13.5">
      <c r="A25" s="240"/>
      <c r="B25" s="241"/>
      <c r="C25" s="211" t="s">
        <v>24</v>
      </c>
      <c r="D25" s="242"/>
      <c r="E25" s="213">
        <v>18</v>
      </c>
      <c r="F25" s="224">
        <v>20</v>
      </c>
      <c r="G25" s="225">
        <f t="shared" si="0"/>
        <v>360</v>
      </c>
      <c r="H25" s="239"/>
    </row>
    <row r="26" spans="1:8" s="17" customFormat="1" ht="13.5">
      <c r="A26" s="209"/>
      <c r="B26" s="210"/>
      <c r="C26" s="211" t="s">
        <v>25</v>
      </c>
      <c r="D26" s="212"/>
      <c r="E26" s="213">
        <v>35</v>
      </c>
      <c r="F26" s="224">
        <v>50</v>
      </c>
      <c r="G26" s="225">
        <f t="shared" si="0"/>
        <v>1750</v>
      </c>
      <c r="H26" s="239"/>
    </row>
    <row r="27" spans="1:8" s="17" customFormat="1" ht="13.5">
      <c r="A27" s="209"/>
      <c r="B27" s="210"/>
      <c r="C27" s="211" t="s">
        <v>26</v>
      </c>
      <c r="D27" s="212"/>
      <c r="E27" s="224">
        <v>1</v>
      </c>
      <c r="F27" s="224">
        <v>75</v>
      </c>
      <c r="G27" s="225">
        <f t="shared" si="0"/>
        <v>75</v>
      </c>
      <c r="H27" s="239"/>
    </row>
    <row r="28" spans="1:8" s="17" customFormat="1" ht="11.45" customHeight="1">
      <c r="A28" s="23"/>
      <c r="B28" s="24"/>
      <c r="C28" s="30"/>
      <c r="D28" s="25"/>
      <c r="E28" s="26"/>
      <c r="F28" s="27" t="s">
        <v>15</v>
      </c>
      <c r="G28" s="28">
        <f>SUM(G20:G27)</f>
        <v>12235</v>
      </c>
      <c r="H28" s="29"/>
    </row>
    <row r="29" spans="1:8" s="17" customFormat="1" ht="11.25" customHeight="1">
      <c r="A29" s="162"/>
      <c r="B29" s="163"/>
      <c r="C29" s="164"/>
      <c r="D29" s="165"/>
      <c r="E29" s="166"/>
      <c r="F29" s="27" t="s">
        <v>16</v>
      </c>
      <c r="G29" s="227">
        <v>1.5</v>
      </c>
      <c r="H29" s="228"/>
    </row>
    <row r="30" spans="1:8" s="17" customFormat="1" ht="11.25" customHeight="1">
      <c r="A30" s="243"/>
      <c r="B30" s="244"/>
      <c r="C30" s="245"/>
      <c r="D30" s="246"/>
      <c r="E30" s="247"/>
      <c r="F30" s="27" t="s">
        <v>17</v>
      </c>
      <c r="G30" s="248">
        <f>G28*G29</f>
        <v>18352.5</v>
      </c>
      <c r="H30" s="249"/>
    </row>
    <row r="31" spans="1:8" s="17" customFormat="1" ht="13.5">
      <c r="A31" s="207" t="s">
        <v>27</v>
      </c>
      <c r="B31" s="140"/>
      <c r="C31" s="144"/>
      <c r="D31" s="142"/>
      <c r="E31" s="142"/>
      <c r="F31" s="143"/>
      <c r="G31" s="143"/>
      <c r="H31" s="250"/>
    </row>
    <row r="32" spans="1:8" ht="13.5">
      <c r="A32" s="209"/>
      <c r="B32" s="210"/>
      <c r="C32" s="211" t="s">
        <v>28</v>
      </c>
      <c r="D32" s="238"/>
      <c r="E32" s="224">
        <v>1</v>
      </c>
      <c r="F32" s="220">
        <v>120</v>
      </c>
      <c r="G32" s="224">
        <f>E32*F32</f>
        <v>120</v>
      </c>
      <c r="H32" s="251"/>
    </row>
    <row r="33" spans="1:290" ht="13.5">
      <c r="A33" s="209"/>
      <c r="B33" s="210"/>
      <c r="C33" s="211" t="s">
        <v>29</v>
      </c>
      <c r="D33" s="238"/>
      <c r="E33" s="220">
        <v>2</v>
      </c>
      <c r="F33" s="220">
        <v>360</v>
      </c>
      <c r="G33" s="220">
        <f>E33*F33</f>
        <v>720</v>
      </c>
      <c r="H33" s="252"/>
    </row>
    <row r="34" spans="1:290" ht="13.5">
      <c r="A34" s="209"/>
      <c r="B34" s="210"/>
      <c r="C34" s="211" t="s">
        <v>30</v>
      </c>
      <c r="D34" s="238"/>
      <c r="E34" s="224">
        <v>3</v>
      </c>
      <c r="F34" s="220">
        <v>30</v>
      </c>
      <c r="G34" s="224">
        <f>E34*F34</f>
        <v>90</v>
      </c>
      <c r="H34" s="251"/>
    </row>
    <row r="35" spans="1:290" s="31" customFormat="1" ht="13.5">
      <c r="A35" s="209"/>
      <c r="B35" s="210"/>
      <c r="C35" s="211" t="s">
        <v>31</v>
      </c>
      <c r="D35" s="238"/>
      <c r="E35" s="220">
        <v>2</v>
      </c>
      <c r="F35" s="220">
        <v>145</v>
      </c>
      <c r="G35" s="220">
        <f>E35*F35</f>
        <v>290</v>
      </c>
      <c r="H35" s="25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</row>
    <row r="36" spans="1:290" ht="13.5">
      <c r="A36" s="209"/>
      <c r="B36" s="210"/>
      <c r="C36" s="211" t="s">
        <v>32</v>
      </c>
      <c r="D36" s="238"/>
      <c r="E36" s="220">
        <v>2</v>
      </c>
      <c r="F36" s="220">
        <v>145</v>
      </c>
      <c r="G36" s="220">
        <f t="shared" ref="G36:G48" si="1">E36*F36</f>
        <v>290</v>
      </c>
      <c r="H36" s="252"/>
    </row>
    <row r="37" spans="1:290" ht="13.5">
      <c r="A37" s="209"/>
      <c r="B37" s="210"/>
      <c r="C37" s="211" t="s">
        <v>33</v>
      </c>
      <c r="D37" s="238"/>
      <c r="E37" s="220">
        <v>2</v>
      </c>
      <c r="F37" s="213">
        <v>180</v>
      </c>
      <c r="G37" s="220">
        <f>E37*F37</f>
        <v>360</v>
      </c>
      <c r="H37" s="254"/>
    </row>
    <row r="38" spans="1:290" ht="13.5">
      <c r="A38" s="209"/>
      <c r="B38" s="210"/>
      <c r="C38" s="211" t="s">
        <v>34</v>
      </c>
      <c r="D38" s="238"/>
      <c r="E38" s="220">
        <v>1</v>
      </c>
      <c r="F38" s="220">
        <v>100</v>
      </c>
      <c r="G38" s="220">
        <f>E38*F38</f>
        <v>100</v>
      </c>
      <c r="H38" s="252"/>
    </row>
    <row r="39" spans="1:290" ht="13.5">
      <c r="A39" s="209"/>
      <c r="B39" s="210"/>
      <c r="C39" s="211" t="s">
        <v>35</v>
      </c>
      <c r="D39" s="238"/>
      <c r="E39" s="220">
        <v>2</v>
      </c>
      <c r="F39" s="220">
        <v>80</v>
      </c>
      <c r="G39" s="220">
        <f>E39*F39</f>
        <v>160</v>
      </c>
      <c r="H39" s="253"/>
    </row>
    <row r="40" spans="1:290" ht="13.5">
      <c r="A40" s="209"/>
      <c r="B40" s="210"/>
      <c r="C40" s="211" t="s">
        <v>36</v>
      </c>
      <c r="D40" s="238"/>
      <c r="E40" s="220">
        <v>2</v>
      </c>
      <c r="F40" s="220">
        <v>60</v>
      </c>
      <c r="G40" s="220">
        <f>E40*F40</f>
        <v>120</v>
      </c>
      <c r="H40" s="253"/>
    </row>
    <row r="41" spans="1:290" ht="13.5">
      <c r="A41" s="209"/>
      <c r="B41" s="210"/>
      <c r="C41" s="211" t="s">
        <v>37</v>
      </c>
      <c r="D41" s="238"/>
      <c r="E41" s="220">
        <v>2</v>
      </c>
      <c r="F41" s="220">
        <v>120</v>
      </c>
      <c r="G41" s="220">
        <f t="shared" si="1"/>
        <v>240</v>
      </c>
      <c r="H41" s="253"/>
    </row>
    <row r="42" spans="1:290" ht="13.5">
      <c r="A42" s="209"/>
      <c r="B42" s="210"/>
      <c r="C42" s="211" t="s">
        <v>38</v>
      </c>
      <c r="D42" s="238"/>
      <c r="E42" s="220">
        <v>1</v>
      </c>
      <c r="F42" s="220">
        <v>40</v>
      </c>
      <c r="G42" s="220">
        <f t="shared" si="1"/>
        <v>40</v>
      </c>
      <c r="H42" s="253"/>
    </row>
    <row r="43" spans="1:290" s="31" customFormat="1" ht="13.5">
      <c r="A43" s="209"/>
      <c r="B43" s="210"/>
      <c r="C43" s="255" t="s">
        <v>39</v>
      </c>
      <c r="D43" s="238"/>
      <c r="E43" s="220">
        <v>1</v>
      </c>
      <c r="F43" s="220">
        <v>240</v>
      </c>
      <c r="G43" s="256">
        <f>E43*F43</f>
        <v>240</v>
      </c>
      <c r="H43" s="25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</row>
    <row r="44" spans="1:290" ht="13.5">
      <c r="A44" s="209"/>
      <c r="B44" s="210"/>
      <c r="C44" s="211" t="s">
        <v>40</v>
      </c>
      <c r="D44" s="238"/>
      <c r="E44" s="220">
        <v>1</v>
      </c>
      <c r="F44" s="220">
        <v>20</v>
      </c>
      <c r="G44" s="220">
        <f>E44*F44</f>
        <v>20</v>
      </c>
      <c r="H44" s="253"/>
    </row>
    <row r="45" spans="1:290" ht="13.5">
      <c r="A45" s="209"/>
      <c r="B45" s="210"/>
      <c r="C45" s="211" t="s">
        <v>41</v>
      </c>
      <c r="D45" s="238"/>
      <c r="E45" s="220">
        <v>1</v>
      </c>
      <c r="F45" s="220">
        <v>24</v>
      </c>
      <c r="G45" s="220">
        <f>E45*F45</f>
        <v>24</v>
      </c>
      <c r="H45" s="253"/>
    </row>
    <row r="46" spans="1:290" ht="13.5">
      <c r="A46" s="209"/>
      <c r="B46" s="210"/>
      <c r="C46" s="211" t="s">
        <v>42</v>
      </c>
      <c r="D46" s="238"/>
      <c r="E46" s="220">
        <v>2</v>
      </c>
      <c r="F46" s="220">
        <v>20</v>
      </c>
      <c r="G46" s="220">
        <f>E46*F46</f>
        <v>40</v>
      </c>
      <c r="H46" s="253"/>
    </row>
    <row r="47" spans="1:290" ht="13.5">
      <c r="A47" s="209"/>
      <c r="B47" s="210"/>
      <c r="C47" s="211" t="s">
        <v>43</v>
      </c>
      <c r="D47" s="238"/>
      <c r="E47" s="220">
        <v>1</v>
      </c>
      <c r="F47" s="220">
        <v>45</v>
      </c>
      <c r="G47" s="220">
        <f t="shared" si="1"/>
        <v>45</v>
      </c>
      <c r="H47" s="253"/>
    </row>
    <row r="48" spans="1:290" ht="13.5">
      <c r="A48" s="209"/>
      <c r="B48" s="210"/>
      <c r="C48" s="211" t="s">
        <v>44</v>
      </c>
      <c r="D48" s="238"/>
      <c r="E48" s="220">
        <v>2</v>
      </c>
      <c r="F48" s="220">
        <v>10</v>
      </c>
      <c r="G48" s="220">
        <f t="shared" si="1"/>
        <v>20</v>
      </c>
      <c r="H48" s="253"/>
    </row>
    <row r="49" spans="1:290" s="31" customFormat="1" ht="13.5">
      <c r="A49" s="209"/>
      <c r="B49" s="210"/>
      <c r="C49" s="211" t="s">
        <v>43</v>
      </c>
      <c r="D49" s="238"/>
      <c r="E49" s="220">
        <v>2</v>
      </c>
      <c r="F49" s="220">
        <v>40</v>
      </c>
      <c r="G49" s="256">
        <f>E49*F49</f>
        <v>80</v>
      </c>
      <c r="H49" s="25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</row>
    <row r="50" spans="1:290" s="31" customFormat="1" ht="13.5">
      <c r="A50" s="209"/>
      <c r="B50" s="210"/>
      <c r="C50" s="211" t="s">
        <v>45</v>
      </c>
      <c r="D50" s="238"/>
      <c r="E50" s="220">
        <v>1</v>
      </c>
      <c r="F50" s="220">
        <v>60</v>
      </c>
      <c r="G50" s="256">
        <f>E50*F50</f>
        <v>60</v>
      </c>
      <c r="H50" s="25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</row>
    <row r="51" spans="1:290" ht="13.5">
      <c r="A51" s="209"/>
      <c r="B51" s="210"/>
      <c r="C51" s="211" t="s">
        <v>46</v>
      </c>
      <c r="D51" s="238"/>
      <c r="E51" s="220">
        <v>2</v>
      </c>
      <c r="F51" s="257">
        <v>20</v>
      </c>
      <c r="G51" s="256">
        <f>E51*F51</f>
        <v>40</v>
      </c>
      <c r="H51" s="253"/>
    </row>
    <row r="52" spans="1:290" s="31" customFormat="1" ht="13.5">
      <c r="A52" s="209"/>
      <c r="B52" s="210"/>
      <c r="C52" s="255" t="s">
        <v>47</v>
      </c>
      <c r="D52" s="238"/>
      <c r="E52" s="220">
        <v>1</v>
      </c>
      <c r="F52" s="220">
        <v>450</v>
      </c>
      <c r="G52" s="256">
        <f>E52*F52</f>
        <v>450</v>
      </c>
      <c r="H52" s="25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</row>
    <row r="53" spans="1:290" s="17" customFormat="1" ht="11.45" customHeight="1">
      <c r="A53" s="23"/>
      <c r="B53" s="24"/>
      <c r="C53" s="30"/>
      <c r="D53" s="25"/>
      <c r="E53" s="26"/>
      <c r="F53" s="27" t="s">
        <v>15</v>
      </c>
      <c r="G53" s="28">
        <f>SUM(G32:G52)</f>
        <v>3549</v>
      </c>
      <c r="H53" s="2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</row>
    <row r="54" spans="1:290" s="17" customFormat="1" ht="11.25" customHeight="1">
      <c r="A54" s="162"/>
      <c r="B54" s="163"/>
      <c r="C54" s="164"/>
      <c r="D54" s="165"/>
      <c r="E54" s="166"/>
      <c r="F54" s="27" t="s">
        <v>16</v>
      </c>
      <c r="G54" s="227">
        <v>1.5</v>
      </c>
      <c r="H54" s="2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</row>
    <row r="55" spans="1:290" s="17" customFormat="1" ht="11.25" customHeight="1">
      <c r="A55" s="243"/>
      <c r="B55" s="244"/>
      <c r="C55" s="245"/>
      <c r="D55" s="246"/>
      <c r="E55" s="247"/>
      <c r="F55" s="27" t="s">
        <v>17</v>
      </c>
      <c r="G55" s="248">
        <f>G53*G54</f>
        <v>5323.5</v>
      </c>
      <c r="H55" s="24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</row>
    <row r="56" spans="1:290" s="17" customFormat="1" ht="13.5">
      <c r="A56" s="207" t="s">
        <v>48</v>
      </c>
      <c r="B56" s="140"/>
      <c r="C56" s="144"/>
      <c r="D56" s="142"/>
      <c r="E56" s="142"/>
      <c r="F56" s="143"/>
      <c r="G56" s="143"/>
      <c r="H56" s="23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</row>
    <row r="57" spans="1:290" s="17" customFormat="1" ht="13.5">
      <c r="A57" s="209"/>
      <c r="B57" s="210"/>
      <c r="C57" s="255" t="s">
        <v>49</v>
      </c>
      <c r="D57" s="212"/>
      <c r="E57" s="224">
        <v>1</v>
      </c>
      <c r="F57" s="257">
        <v>300</v>
      </c>
      <c r="G57" s="258">
        <f>E57*F57</f>
        <v>300</v>
      </c>
      <c r="H57" s="25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</row>
    <row r="58" spans="1:290" s="17" customFormat="1" ht="13.5">
      <c r="A58" s="209"/>
      <c r="B58" s="210"/>
      <c r="C58" s="255" t="s">
        <v>50</v>
      </c>
      <c r="D58" s="212"/>
      <c r="E58" s="224">
        <v>1</v>
      </c>
      <c r="F58" s="259">
        <v>120</v>
      </c>
      <c r="G58" s="258">
        <f>E58*F58</f>
        <v>120</v>
      </c>
      <c r="H58" s="252"/>
    </row>
    <row r="59" spans="1:290" s="17" customFormat="1" ht="13.5">
      <c r="A59" s="209"/>
      <c r="B59" s="210"/>
      <c r="C59" s="211" t="s">
        <v>51</v>
      </c>
      <c r="D59" s="212"/>
      <c r="E59" s="224">
        <v>3</v>
      </c>
      <c r="F59" s="225">
        <v>54</v>
      </c>
      <c r="G59" s="258">
        <f t="shared" ref="G59:G60" si="2">E59*F59</f>
        <v>162</v>
      </c>
      <c r="H59" s="260"/>
    </row>
    <row r="60" spans="1:290" s="17" customFormat="1" ht="13.5">
      <c r="A60" s="209"/>
      <c r="B60" s="210"/>
      <c r="C60" s="255" t="s">
        <v>52</v>
      </c>
      <c r="D60" s="212"/>
      <c r="E60" s="261">
        <v>1</v>
      </c>
      <c r="F60" s="262">
        <v>60</v>
      </c>
      <c r="G60" s="258">
        <f t="shared" si="2"/>
        <v>60</v>
      </c>
      <c r="H60" s="263"/>
    </row>
    <row r="61" spans="1:290" s="17" customFormat="1" ht="11.25" customHeight="1">
      <c r="A61" s="23"/>
      <c r="B61" s="24"/>
      <c r="C61" s="30"/>
      <c r="D61" s="32"/>
      <c r="E61" s="26"/>
      <c r="F61" s="27" t="s">
        <v>53</v>
      </c>
      <c r="G61" s="28">
        <f>SUM(G57:G60)</f>
        <v>642</v>
      </c>
      <c r="H61" s="29"/>
    </row>
    <row r="62" spans="1:290" s="17" customFormat="1" ht="11.25" customHeight="1">
      <c r="A62" s="23"/>
      <c r="B62" s="24"/>
      <c r="C62" s="164"/>
      <c r="D62" s="264"/>
      <c r="E62" s="166"/>
      <c r="F62" s="27" t="s">
        <v>16</v>
      </c>
      <c r="G62" s="227">
        <v>1.5</v>
      </c>
      <c r="H62" s="228"/>
    </row>
    <row r="63" spans="1:290" s="17" customFormat="1" ht="11.25" customHeight="1">
      <c r="A63" s="23"/>
      <c r="B63" s="33"/>
      <c r="C63" s="265"/>
      <c r="D63" s="266"/>
      <c r="E63" s="267"/>
      <c r="F63" s="27" t="s">
        <v>17</v>
      </c>
      <c r="G63" s="268">
        <f>G61*G62</f>
        <v>963</v>
      </c>
      <c r="H63" s="269"/>
    </row>
    <row r="64" spans="1:290" s="17" customFormat="1" ht="13.5">
      <c r="A64" s="207" t="s">
        <v>54</v>
      </c>
      <c r="B64" s="140"/>
      <c r="C64" s="144"/>
      <c r="D64" s="142"/>
      <c r="E64" s="142"/>
      <c r="F64" s="143"/>
      <c r="G64" s="143"/>
      <c r="H64" s="270"/>
    </row>
    <row r="65" spans="1:8" s="17" customFormat="1" ht="26.45" customHeight="1">
      <c r="A65" s="209"/>
      <c r="B65" s="210"/>
      <c r="C65" s="211" t="s">
        <v>55</v>
      </c>
      <c r="D65" s="212"/>
      <c r="E65" s="224">
        <v>3</v>
      </c>
      <c r="F65" s="257">
        <v>100</v>
      </c>
      <c r="G65" s="258">
        <f>E65*F65</f>
        <v>300</v>
      </c>
      <c r="H65" s="271"/>
    </row>
    <row r="66" spans="1:8" s="17" customFormat="1" ht="13.15" customHeight="1">
      <c r="A66" s="209"/>
      <c r="B66" s="210"/>
      <c r="C66" s="211" t="s">
        <v>56</v>
      </c>
      <c r="D66" s="212"/>
      <c r="E66" s="224">
        <v>1</v>
      </c>
      <c r="F66" s="257">
        <v>140</v>
      </c>
      <c r="G66" s="258">
        <f>E66*F66</f>
        <v>140</v>
      </c>
      <c r="H66" s="271"/>
    </row>
    <row r="67" spans="1:8" s="17" customFormat="1" ht="13.15" customHeight="1">
      <c r="A67" s="209"/>
      <c r="B67" s="210"/>
      <c r="C67" s="211" t="s">
        <v>57</v>
      </c>
      <c r="D67" s="212"/>
      <c r="E67" s="224">
        <v>1</v>
      </c>
      <c r="F67" s="257">
        <v>180</v>
      </c>
      <c r="G67" s="258">
        <f t="shared" ref="G67:G68" si="3">E67*F67</f>
        <v>180</v>
      </c>
      <c r="H67" s="271"/>
    </row>
    <row r="68" spans="1:8" s="17" customFormat="1" ht="13.15" customHeight="1">
      <c r="A68" s="209"/>
      <c r="B68" s="210"/>
      <c r="C68" s="211" t="s">
        <v>58</v>
      </c>
      <c r="D68" s="212"/>
      <c r="E68" s="220">
        <v>1</v>
      </c>
      <c r="F68" s="257">
        <v>200</v>
      </c>
      <c r="G68" s="258">
        <f t="shared" si="3"/>
        <v>200</v>
      </c>
      <c r="H68" s="271"/>
    </row>
    <row r="69" spans="1:8" s="17" customFormat="1" ht="13.5">
      <c r="A69" s="23"/>
      <c r="B69" s="24"/>
      <c r="C69" s="30"/>
      <c r="D69" s="32"/>
      <c r="E69" s="26"/>
      <c r="F69" s="27" t="s">
        <v>53</v>
      </c>
      <c r="G69" s="28">
        <f>SUM(G65:G68)</f>
        <v>820</v>
      </c>
      <c r="H69" s="29"/>
    </row>
    <row r="70" spans="1:8" s="17" customFormat="1" ht="13.5">
      <c r="A70" s="23"/>
      <c r="B70" s="24"/>
      <c r="C70" s="164"/>
      <c r="D70" s="264"/>
      <c r="E70" s="166"/>
      <c r="F70" s="27" t="s">
        <v>16</v>
      </c>
      <c r="G70" s="227">
        <v>1.5</v>
      </c>
      <c r="H70" s="228"/>
    </row>
    <row r="71" spans="1:8" s="17" customFormat="1" ht="11.25" customHeight="1">
      <c r="A71" s="23"/>
      <c r="B71" s="33"/>
      <c r="C71" s="265"/>
      <c r="D71" s="266"/>
      <c r="E71" s="267"/>
      <c r="F71" s="27" t="s">
        <v>17</v>
      </c>
      <c r="G71" s="268">
        <f>G69*G70</f>
        <v>1230</v>
      </c>
      <c r="H71" s="269"/>
    </row>
    <row r="72" spans="1:8" s="17" customFormat="1" ht="11.25" customHeight="1">
      <c r="A72" s="207" t="s">
        <v>59</v>
      </c>
      <c r="B72" s="140"/>
      <c r="C72" s="144"/>
      <c r="D72" s="142"/>
      <c r="E72" s="142"/>
      <c r="F72" s="143"/>
      <c r="G72" s="143"/>
      <c r="H72" s="236"/>
    </row>
    <row r="73" spans="1:8" s="17" customFormat="1" ht="13.15" customHeight="1">
      <c r="A73" s="209"/>
      <c r="B73" s="210"/>
      <c r="C73" s="211" t="s">
        <v>60</v>
      </c>
      <c r="D73" s="212"/>
      <c r="E73" s="220">
        <v>2</v>
      </c>
      <c r="F73" s="257">
        <v>126</v>
      </c>
      <c r="G73" s="256">
        <f>E73*F73</f>
        <v>252</v>
      </c>
      <c r="H73" s="272"/>
    </row>
    <row r="74" spans="1:8" ht="13.5">
      <c r="A74" s="209"/>
      <c r="B74" s="210"/>
      <c r="C74" s="211" t="s">
        <v>61</v>
      </c>
      <c r="D74" s="212"/>
      <c r="E74" s="220">
        <v>2</v>
      </c>
      <c r="F74" s="220">
        <v>108</v>
      </c>
      <c r="G74" s="256">
        <f>E74*F74</f>
        <v>216</v>
      </c>
      <c r="H74" s="272"/>
    </row>
    <row r="75" spans="1:8" ht="13.5">
      <c r="A75" s="23"/>
      <c r="B75" s="24"/>
      <c r="C75" s="34"/>
      <c r="D75" s="32"/>
      <c r="E75" s="26"/>
      <c r="F75" s="27" t="s">
        <v>53</v>
      </c>
      <c r="G75" s="28">
        <f>SUM(G73:G74)</f>
        <v>468</v>
      </c>
      <c r="H75" s="35"/>
    </row>
    <row r="76" spans="1:8" ht="13.5">
      <c r="A76" s="273"/>
      <c r="B76" s="274"/>
      <c r="C76" s="275"/>
      <c r="D76" s="264"/>
      <c r="E76" s="276"/>
      <c r="F76" s="27" t="s">
        <v>16</v>
      </c>
      <c r="G76" s="277">
        <v>1.5</v>
      </c>
      <c r="H76" s="278"/>
    </row>
    <row r="77" spans="1:8" ht="14.25" thickBot="1">
      <c r="A77" s="279"/>
      <c r="B77" s="280"/>
      <c r="C77" s="281"/>
      <c r="D77" s="282"/>
      <c r="E77" s="283"/>
      <c r="F77" s="284" t="s">
        <v>17</v>
      </c>
      <c r="G77" s="285">
        <f>G75*G76</f>
        <v>702</v>
      </c>
      <c r="H77" s="286"/>
    </row>
  </sheetData>
  <mergeCells count="1">
    <mergeCell ref="A1:H1"/>
  </mergeCells>
  <printOptions horizontalCentered="1"/>
  <pageMargins left="0.7" right="0.7" top="0.75" bottom="0.75" header="0.3" footer="0.3"/>
  <pageSetup scale="78" fitToHeight="0" orientation="portrait" r:id="rId1"/>
  <rowBreaks count="1" manualBreakCount="1">
    <brk id="55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FA6A-BB22-480B-BE17-7D8BC98788DB}">
  <sheetPr>
    <tabColor theme="4" tint="0.39997558519241921"/>
    <pageSetUpPr fitToPage="1"/>
  </sheetPr>
  <dimension ref="A1:KD78"/>
  <sheetViews>
    <sheetView zoomScale="157" zoomScaleNormal="157" zoomScaleSheetLayoutView="150" workbookViewId="0">
      <selection activeCell="H81" sqref="H81"/>
    </sheetView>
  </sheetViews>
  <sheetFormatPr defaultColWidth="9.140625" defaultRowHeight="11.25"/>
  <cols>
    <col min="1" max="1" width="6.42578125" style="36" customWidth="1"/>
    <col min="2" max="2" width="7.85546875" style="1" customWidth="1"/>
    <col min="3" max="3" width="32.5703125" style="1" customWidth="1"/>
    <col min="4" max="4" width="8.5703125" style="1" customWidth="1"/>
    <col min="5" max="5" width="10.7109375" style="1" customWidth="1"/>
    <col min="6" max="7" width="10.7109375" style="37" customWidth="1"/>
    <col min="8" max="8" width="30.7109375" style="37" customWidth="1"/>
    <col min="9" max="16384" width="9.140625" style="1"/>
  </cols>
  <sheetData>
    <row r="1" spans="1:10" ht="22.9" customHeight="1" thickBot="1">
      <c r="A1" s="188"/>
      <c r="B1" s="189"/>
      <c r="C1" s="189"/>
      <c r="D1" s="189"/>
      <c r="E1" s="189"/>
      <c r="F1" s="189"/>
      <c r="G1" s="189"/>
      <c r="H1" s="190"/>
    </row>
    <row r="2" spans="1:10" ht="18" customHeight="1">
      <c r="A2" s="2" t="s">
        <v>62</v>
      </c>
      <c r="B2" s="3"/>
      <c r="C2" s="4"/>
      <c r="D2" s="4"/>
      <c r="E2" s="4"/>
      <c r="F2" s="5"/>
      <c r="G2" s="5"/>
      <c r="H2" s="6"/>
    </row>
    <row r="3" spans="1:10" s="7" customFormat="1" ht="18" customHeight="1">
      <c r="A3" s="198"/>
      <c r="B3" s="287"/>
      <c r="C3" s="287"/>
      <c r="D3" s="287"/>
      <c r="E3" s="287"/>
      <c r="F3" s="287"/>
      <c r="G3" s="287"/>
      <c r="H3" s="199"/>
    </row>
    <row r="4" spans="1:10" ht="11.25" customHeight="1">
      <c r="A4" s="8"/>
      <c r="B4" s="9"/>
      <c r="C4" s="10" t="s">
        <v>1</v>
      </c>
      <c r="D4" s="11">
        <f>SUM(G16,G28,G53,G62,G70,G76)</f>
        <v>18144</v>
      </c>
      <c r="E4" s="12"/>
      <c r="F4" s="12"/>
      <c r="G4" s="12"/>
      <c r="H4" s="13" t="s">
        <v>63</v>
      </c>
    </row>
    <row r="5" spans="1:10" ht="11.25" customHeight="1">
      <c r="A5" s="173"/>
      <c r="B5" s="288"/>
      <c r="C5" s="289" t="s">
        <v>2</v>
      </c>
      <c r="D5" s="290">
        <v>1.5</v>
      </c>
      <c r="E5" s="291"/>
      <c r="F5" s="291"/>
      <c r="G5" s="292"/>
      <c r="H5" s="293"/>
    </row>
    <row r="6" spans="1:10" ht="18.75" customHeight="1">
      <c r="A6" s="294"/>
      <c r="B6" s="295"/>
      <c r="C6" s="296" t="s">
        <v>3</v>
      </c>
      <c r="D6" s="11">
        <f>D4*D5</f>
        <v>27216</v>
      </c>
      <c r="E6" s="291"/>
      <c r="F6" s="291"/>
      <c r="G6" s="297"/>
      <c r="H6" s="14"/>
    </row>
    <row r="7" spans="1:10" ht="11.25" customHeight="1">
      <c r="A7" s="298"/>
      <c r="B7" s="183"/>
      <c r="C7" s="15"/>
      <c r="D7" s="299"/>
      <c r="E7" s="300"/>
      <c r="F7" s="301"/>
      <c r="G7" s="302"/>
      <c r="H7" s="303"/>
    </row>
    <row r="8" spans="1:10" ht="12" customHeight="1">
      <c r="A8" s="304"/>
      <c r="B8" s="16"/>
      <c r="C8" s="16"/>
      <c r="D8" s="305"/>
      <c r="E8" s="306" t="s">
        <v>4</v>
      </c>
      <c r="F8" s="306" t="s">
        <v>5</v>
      </c>
      <c r="G8" s="306" t="s">
        <v>6</v>
      </c>
      <c r="H8" s="307" t="s">
        <v>7</v>
      </c>
    </row>
    <row r="9" spans="1:10" s="17" customFormat="1" ht="13.5">
      <c r="A9" s="207" t="s">
        <v>8</v>
      </c>
      <c r="B9" s="140"/>
      <c r="C9" s="141"/>
      <c r="D9" s="142"/>
      <c r="E9" s="142"/>
      <c r="F9" s="143"/>
      <c r="G9" s="143"/>
      <c r="H9" s="208"/>
      <c r="J9" s="1"/>
    </row>
    <row r="10" spans="1:10" s="17" customFormat="1" ht="13.5">
      <c r="A10" s="308"/>
      <c r="B10" s="309"/>
      <c r="C10" s="310" t="s">
        <v>9</v>
      </c>
      <c r="D10" s="311"/>
      <c r="E10" s="312"/>
      <c r="F10" s="259"/>
      <c r="G10" s="313"/>
      <c r="H10" s="260"/>
      <c r="J10" s="1"/>
    </row>
    <row r="11" spans="1:10" s="17" customFormat="1" ht="13.5">
      <c r="A11" s="18"/>
      <c r="B11" s="19"/>
      <c r="C11" s="20" t="s">
        <v>10</v>
      </c>
      <c r="D11" s="21"/>
      <c r="E11" s="217">
        <v>16</v>
      </c>
      <c r="F11" s="218">
        <v>20</v>
      </c>
      <c r="G11" s="219">
        <f>F11*E11</f>
        <v>320</v>
      </c>
      <c r="H11" s="22"/>
      <c r="J11" s="1"/>
    </row>
    <row r="12" spans="1:10" s="17" customFormat="1" ht="13.5">
      <c r="A12" s="308"/>
      <c r="B12" s="309"/>
      <c r="C12" s="310" t="s">
        <v>12</v>
      </c>
      <c r="D12" s="311"/>
      <c r="E12" s="314">
        <v>2</v>
      </c>
      <c r="F12" s="315">
        <v>60</v>
      </c>
      <c r="G12" s="258">
        <f>E12*F12</f>
        <v>120</v>
      </c>
      <c r="H12" s="272"/>
    </row>
    <row r="13" spans="1:10" s="17" customFormat="1" ht="13.5">
      <c r="A13" s="308"/>
      <c r="B13" s="309"/>
      <c r="C13" s="310" t="s">
        <v>13</v>
      </c>
      <c r="D13" s="311"/>
      <c r="E13" s="314">
        <v>1</v>
      </c>
      <c r="F13" s="315">
        <v>60</v>
      </c>
      <c r="G13" s="258">
        <f>E13*F13</f>
        <v>60</v>
      </c>
      <c r="H13" s="316"/>
    </row>
    <row r="14" spans="1:10" s="17" customFormat="1" ht="13.5">
      <c r="A14" s="308"/>
      <c r="B14" s="309"/>
      <c r="C14" s="310" t="s">
        <v>11</v>
      </c>
      <c r="D14" s="311"/>
      <c r="E14" s="317">
        <v>1</v>
      </c>
      <c r="F14" s="257">
        <v>40</v>
      </c>
      <c r="G14" s="258">
        <f>E14*F14</f>
        <v>40</v>
      </c>
      <c r="H14" s="272"/>
    </row>
    <row r="15" spans="1:10" s="17" customFormat="1" ht="13.5">
      <c r="A15" s="308"/>
      <c r="B15" s="309"/>
      <c r="C15" s="310" t="s">
        <v>14</v>
      </c>
      <c r="D15" s="311"/>
      <c r="E15" s="317">
        <v>1</v>
      </c>
      <c r="F15" s="318">
        <v>180</v>
      </c>
      <c r="G15" s="258">
        <v>200</v>
      </c>
      <c r="H15" s="272"/>
    </row>
    <row r="16" spans="1:10" s="17" customFormat="1" ht="11.25" customHeight="1">
      <c r="A16" s="23"/>
      <c r="B16" s="24"/>
      <c r="C16" s="25"/>
      <c r="D16" s="25"/>
      <c r="E16" s="26"/>
      <c r="F16" s="27" t="s">
        <v>15</v>
      </c>
      <c r="G16" s="28">
        <f>SUM(G11:G15)</f>
        <v>740</v>
      </c>
      <c r="H16" s="29"/>
    </row>
    <row r="17" spans="1:8" s="17" customFormat="1" ht="11.25" customHeight="1">
      <c r="A17" s="273"/>
      <c r="B17" s="274"/>
      <c r="C17" s="275"/>
      <c r="D17" s="319"/>
      <c r="E17" s="276"/>
      <c r="F17" s="27" t="s">
        <v>16</v>
      </c>
      <c r="G17" s="277">
        <v>1.5</v>
      </c>
      <c r="H17" s="320"/>
    </row>
    <row r="18" spans="1:8" s="17" customFormat="1" ht="11.25" customHeight="1">
      <c r="A18" s="321"/>
      <c r="B18" s="322"/>
      <c r="C18" s="323"/>
      <c r="D18" s="324"/>
      <c r="E18" s="325"/>
      <c r="F18" s="27" t="s">
        <v>17</v>
      </c>
      <c r="G18" s="326">
        <f>G16*G17</f>
        <v>1110</v>
      </c>
      <c r="H18" s="327"/>
    </row>
    <row r="19" spans="1:8" s="17" customFormat="1" ht="13.5">
      <c r="A19" s="207" t="s">
        <v>18</v>
      </c>
      <c r="B19" s="140"/>
      <c r="C19" s="144"/>
      <c r="D19" s="142"/>
      <c r="E19" s="145"/>
      <c r="F19" s="143"/>
      <c r="G19" s="143"/>
      <c r="H19" s="236"/>
    </row>
    <row r="20" spans="1:8" s="17" customFormat="1" ht="13.5">
      <c r="A20" s="308"/>
      <c r="B20" s="309"/>
      <c r="C20" s="310" t="s">
        <v>19</v>
      </c>
      <c r="D20" s="311"/>
      <c r="E20" s="312">
        <v>29</v>
      </c>
      <c r="F20" s="314">
        <v>260</v>
      </c>
      <c r="G20" s="315">
        <f>E20*F20</f>
        <v>7540</v>
      </c>
      <c r="H20" s="328"/>
    </row>
    <row r="21" spans="1:8" s="17" customFormat="1" ht="13.5">
      <c r="A21" s="308"/>
      <c r="B21" s="309"/>
      <c r="C21" s="310" t="s">
        <v>20</v>
      </c>
      <c r="D21" s="311"/>
      <c r="E21" s="314">
        <v>4</v>
      </c>
      <c r="F21" s="314">
        <v>260</v>
      </c>
      <c r="G21" s="315">
        <f>E21*F21</f>
        <v>1040</v>
      </c>
      <c r="H21" s="328"/>
    </row>
    <row r="22" spans="1:8" s="17" customFormat="1" ht="13.5">
      <c r="A22" s="308"/>
      <c r="B22" s="309"/>
      <c r="C22" s="310" t="s">
        <v>21</v>
      </c>
      <c r="D22" s="329"/>
      <c r="E22" s="317">
        <v>5</v>
      </c>
      <c r="F22" s="314">
        <v>50</v>
      </c>
      <c r="G22" s="315">
        <f>E22*F22</f>
        <v>250</v>
      </c>
      <c r="H22" s="330"/>
    </row>
    <row r="23" spans="1:8" s="17" customFormat="1" ht="13.5">
      <c r="A23" s="308"/>
      <c r="B23" s="309"/>
      <c r="C23" s="310" t="s">
        <v>22</v>
      </c>
      <c r="D23" s="311"/>
      <c r="E23" s="314">
        <v>1</v>
      </c>
      <c r="F23" s="314">
        <v>340</v>
      </c>
      <c r="G23" s="315">
        <f t="shared" ref="G23:G27" si="0">E23*F23</f>
        <v>340</v>
      </c>
      <c r="H23" s="328"/>
    </row>
    <row r="24" spans="1:8" s="17" customFormat="1" ht="13.5">
      <c r="A24" s="331"/>
      <c r="B24" s="332"/>
      <c r="C24" s="310" t="s">
        <v>23</v>
      </c>
      <c r="D24" s="333"/>
      <c r="E24" s="312">
        <v>17</v>
      </c>
      <c r="F24" s="314">
        <v>20</v>
      </c>
      <c r="G24" s="315">
        <f t="shared" si="0"/>
        <v>340</v>
      </c>
      <c r="H24" s="330"/>
    </row>
    <row r="25" spans="1:8" s="17" customFormat="1" ht="13.5">
      <c r="A25" s="331"/>
      <c r="B25" s="332"/>
      <c r="C25" s="310" t="s">
        <v>24</v>
      </c>
      <c r="D25" s="333"/>
      <c r="E25" s="312">
        <v>17</v>
      </c>
      <c r="F25" s="314">
        <v>20</v>
      </c>
      <c r="G25" s="315">
        <f t="shared" si="0"/>
        <v>340</v>
      </c>
      <c r="H25" s="330"/>
    </row>
    <row r="26" spans="1:8" s="17" customFormat="1" ht="13.5">
      <c r="A26" s="308"/>
      <c r="B26" s="309"/>
      <c r="C26" s="310" t="s">
        <v>25</v>
      </c>
      <c r="D26" s="311"/>
      <c r="E26" s="312">
        <v>33</v>
      </c>
      <c r="F26" s="314">
        <v>50</v>
      </c>
      <c r="G26" s="315">
        <f t="shared" si="0"/>
        <v>1650</v>
      </c>
      <c r="H26" s="330"/>
    </row>
    <row r="27" spans="1:8" s="17" customFormat="1" ht="13.5">
      <c r="A27" s="308"/>
      <c r="B27" s="309"/>
      <c r="C27" s="310" t="s">
        <v>26</v>
      </c>
      <c r="D27" s="311"/>
      <c r="E27" s="314">
        <v>1</v>
      </c>
      <c r="F27" s="314">
        <v>75</v>
      </c>
      <c r="G27" s="315">
        <f t="shared" si="0"/>
        <v>75</v>
      </c>
      <c r="H27" s="330"/>
    </row>
    <row r="28" spans="1:8" s="17" customFormat="1" ht="11.45" customHeight="1">
      <c r="A28" s="23"/>
      <c r="B28" s="24"/>
      <c r="C28" s="30"/>
      <c r="D28" s="25"/>
      <c r="E28" s="26"/>
      <c r="F28" s="27" t="s">
        <v>15</v>
      </c>
      <c r="G28" s="28">
        <f>SUM(G20:G27)</f>
        <v>11575</v>
      </c>
      <c r="H28" s="29"/>
    </row>
    <row r="29" spans="1:8" s="17" customFormat="1" ht="11.25" customHeight="1">
      <c r="A29" s="334"/>
      <c r="B29" s="335"/>
      <c r="C29" s="336"/>
      <c r="D29" s="337"/>
      <c r="E29" s="338"/>
      <c r="F29" s="27" t="s">
        <v>16</v>
      </c>
      <c r="G29" s="339">
        <v>1.5</v>
      </c>
      <c r="H29" s="340"/>
    </row>
    <row r="30" spans="1:8" s="17" customFormat="1" ht="11.25" customHeight="1">
      <c r="A30" s="341"/>
      <c r="B30" s="342"/>
      <c r="C30" s="343"/>
      <c r="D30" s="344"/>
      <c r="E30" s="345"/>
      <c r="F30" s="27" t="s">
        <v>17</v>
      </c>
      <c r="G30" s="346">
        <f>G28*G29</f>
        <v>17362.5</v>
      </c>
      <c r="H30" s="347"/>
    </row>
    <row r="31" spans="1:8" s="17" customFormat="1" ht="13.5">
      <c r="A31" s="207" t="s">
        <v>27</v>
      </c>
      <c r="B31" s="140"/>
      <c r="C31" s="144"/>
      <c r="D31" s="142"/>
      <c r="E31" s="142"/>
      <c r="F31" s="143"/>
      <c r="G31" s="143"/>
      <c r="H31" s="250"/>
    </row>
    <row r="32" spans="1:8" ht="13.5">
      <c r="A32" s="348"/>
      <c r="B32" s="349"/>
      <c r="C32" s="350" t="s">
        <v>28</v>
      </c>
      <c r="D32" s="351"/>
      <c r="E32" s="352">
        <v>1</v>
      </c>
      <c r="F32" s="353">
        <v>120</v>
      </c>
      <c r="G32" s="352">
        <f>E32*F32</f>
        <v>120</v>
      </c>
      <c r="H32" s="354"/>
    </row>
    <row r="33" spans="1:290" ht="13.5">
      <c r="A33" s="348"/>
      <c r="B33" s="349"/>
      <c r="C33" s="350" t="s">
        <v>29</v>
      </c>
      <c r="D33" s="351"/>
      <c r="E33" s="352">
        <v>2</v>
      </c>
      <c r="F33" s="353">
        <v>360</v>
      </c>
      <c r="G33" s="352">
        <f>E33*F33</f>
        <v>720</v>
      </c>
      <c r="H33" s="354"/>
    </row>
    <row r="34" spans="1:290" ht="13.5">
      <c r="A34" s="348"/>
      <c r="B34" s="349"/>
      <c r="C34" s="350" t="s">
        <v>64</v>
      </c>
      <c r="D34" s="351"/>
      <c r="E34" s="352">
        <v>3</v>
      </c>
      <c r="F34" s="353">
        <v>30</v>
      </c>
      <c r="G34" s="352">
        <f>E34*F34</f>
        <v>90</v>
      </c>
      <c r="H34" s="354"/>
    </row>
    <row r="35" spans="1:290" s="31" customFormat="1" ht="13.5">
      <c r="A35" s="348"/>
      <c r="B35" s="349"/>
      <c r="C35" s="350" t="s">
        <v>31</v>
      </c>
      <c r="D35" s="351"/>
      <c r="E35" s="352">
        <v>2</v>
      </c>
      <c r="F35" s="352">
        <v>145</v>
      </c>
      <c r="G35" s="352">
        <f>E35*F35</f>
        <v>290</v>
      </c>
      <c r="H35" s="35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</row>
    <row r="36" spans="1:290" ht="13.5">
      <c r="A36" s="348"/>
      <c r="B36" s="349"/>
      <c r="C36" s="350" t="s">
        <v>32</v>
      </c>
      <c r="D36" s="351"/>
      <c r="E36" s="353">
        <v>2</v>
      </c>
      <c r="F36" s="353">
        <v>145</v>
      </c>
      <c r="G36" s="353">
        <f t="shared" ref="G36:G48" si="1">E36*F36</f>
        <v>290</v>
      </c>
      <c r="H36" s="356"/>
    </row>
    <row r="37" spans="1:290" ht="13.5">
      <c r="A37" s="348"/>
      <c r="B37" s="349"/>
      <c r="C37" s="350" t="s">
        <v>33</v>
      </c>
      <c r="D37" s="351"/>
      <c r="E37" s="353">
        <v>2</v>
      </c>
      <c r="F37" s="357">
        <v>360</v>
      </c>
      <c r="G37" s="353">
        <f>E37*F37</f>
        <v>720</v>
      </c>
      <c r="H37" s="358"/>
    </row>
    <row r="38" spans="1:290" ht="13.5">
      <c r="A38" s="348"/>
      <c r="B38" s="349"/>
      <c r="C38" s="350" t="s">
        <v>34</v>
      </c>
      <c r="D38" s="351"/>
      <c r="E38" s="353">
        <v>1</v>
      </c>
      <c r="F38" s="353">
        <v>100</v>
      </c>
      <c r="G38" s="353">
        <f>E38*F38</f>
        <v>100</v>
      </c>
      <c r="H38" s="358"/>
    </row>
    <row r="39" spans="1:290" ht="13.5">
      <c r="A39" s="348"/>
      <c r="B39" s="349"/>
      <c r="C39" s="350" t="s">
        <v>35</v>
      </c>
      <c r="D39" s="351"/>
      <c r="E39" s="353">
        <v>2</v>
      </c>
      <c r="F39" s="353">
        <v>80</v>
      </c>
      <c r="G39" s="353">
        <f>E39*F39</f>
        <v>160</v>
      </c>
      <c r="H39" s="358"/>
    </row>
    <row r="40" spans="1:290" ht="13.5">
      <c r="A40" s="348"/>
      <c r="B40" s="349"/>
      <c r="C40" s="350" t="s">
        <v>36</v>
      </c>
      <c r="D40" s="351"/>
      <c r="E40" s="353">
        <v>2</v>
      </c>
      <c r="F40" s="353">
        <v>60</v>
      </c>
      <c r="G40" s="353">
        <f>E40*F40</f>
        <v>120</v>
      </c>
      <c r="H40" s="358"/>
    </row>
    <row r="41" spans="1:290" ht="13.5">
      <c r="A41" s="348"/>
      <c r="B41" s="349"/>
      <c r="C41" s="350" t="s">
        <v>37</v>
      </c>
      <c r="D41" s="351"/>
      <c r="E41" s="353">
        <v>2</v>
      </c>
      <c r="F41" s="353">
        <v>120</v>
      </c>
      <c r="G41" s="353">
        <f t="shared" si="1"/>
        <v>240</v>
      </c>
      <c r="H41" s="358"/>
    </row>
    <row r="42" spans="1:290" ht="13.5">
      <c r="A42" s="348"/>
      <c r="B42" s="349"/>
      <c r="C42" s="350" t="s">
        <v>38</v>
      </c>
      <c r="D42" s="351"/>
      <c r="E42" s="353">
        <v>1</v>
      </c>
      <c r="F42" s="353">
        <v>40</v>
      </c>
      <c r="G42" s="353">
        <f t="shared" si="1"/>
        <v>40</v>
      </c>
      <c r="H42" s="358"/>
    </row>
    <row r="43" spans="1:290" s="31" customFormat="1" ht="13.5">
      <c r="A43" s="348"/>
      <c r="B43" s="349"/>
      <c r="C43" s="359" t="s">
        <v>39</v>
      </c>
      <c r="D43" s="351"/>
      <c r="E43" s="353">
        <v>1</v>
      </c>
      <c r="F43" s="353">
        <v>240</v>
      </c>
      <c r="G43" s="360">
        <f>E43*F43</f>
        <v>240</v>
      </c>
      <c r="H43" s="35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</row>
    <row r="44" spans="1:290" ht="13.5">
      <c r="A44" s="348"/>
      <c r="B44" s="349"/>
      <c r="C44" s="350" t="s">
        <v>40</v>
      </c>
      <c r="D44" s="351"/>
      <c r="E44" s="353">
        <v>1</v>
      </c>
      <c r="F44" s="353">
        <v>20</v>
      </c>
      <c r="G44" s="353">
        <f>E44*F44</f>
        <v>20</v>
      </c>
      <c r="H44" s="358"/>
    </row>
    <row r="45" spans="1:290" ht="13.5">
      <c r="A45" s="348"/>
      <c r="B45" s="349"/>
      <c r="C45" s="350" t="s">
        <v>41</v>
      </c>
      <c r="D45" s="351"/>
      <c r="E45" s="352">
        <v>1</v>
      </c>
      <c r="F45" s="352">
        <v>24</v>
      </c>
      <c r="G45" s="352">
        <f>E45*F45</f>
        <v>24</v>
      </c>
      <c r="H45" s="361"/>
    </row>
    <row r="46" spans="1:290" ht="13.5">
      <c r="A46" s="348"/>
      <c r="B46" s="349"/>
      <c r="C46" s="350" t="s">
        <v>42</v>
      </c>
      <c r="D46" s="351"/>
      <c r="E46" s="352">
        <v>2</v>
      </c>
      <c r="F46" s="352">
        <v>20</v>
      </c>
      <c r="G46" s="352">
        <f>E46*F46</f>
        <v>40</v>
      </c>
      <c r="H46" s="361"/>
    </row>
    <row r="47" spans="1:290" ht="13.5">
      <c r="A47" s="348"/>
      <c r="B47" s="349"/>
      <c r="C47" s="350" t="s">
        <v>65</v>
      </c>
      <c r="D47" s="351"/>
      <c r="E47" s="352">
        <v>1</v>
      </c>
      <c r="F47" s="352">
        <v>45</v>
      </c>
      <c r="G47" s="352">
        <f t="shared" si="1"/>
        <v>45</v>
      </c>
      <c r="H47" s="361"/>
    </row>
    <row r="48" spans="1:290" ht="13.5">
      <c r="A48" s="348"/>
      <c r="B48" s="349"/>
      <c r="C48" s="350" t="s">
        <v>44</v>
      </c>
      <c r="D48" s="351"/>
      <c r="E48" s="353">
        <v>2</v>
      </c>
      <c r="F48" s="352">
        <v>10</v>
      </c>
      <c r="G48" s="352">
        <f t="shared" si="1"/>
        <v>20</v>
      </c>
      <c r="H48" s="361"/>
    </row>
    <row r="49" spans="1:290" s="31" customFormat="1" ht="13.5">
      <c r="A49" s="348"/>
      <c r="B49" s="349"/>
      <c r="C49" s="350" t="s">
        <v>43</v>
      </c>
      <c r="D49" s="351"/>
      <c r="E49" s="352">
        <v>2</v>
      </c>
      <c r="F49" s="352">
        <v>40</v>
      </c>
      <c r="G49" s="362">
        <f>E49*F49</f>
        <v>80</v>
      </c>
      <c r="H49" s="36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</row>
    <row r="50" spans="1:290" s="31" customFormat="1" ht="13.5">
      <c r="A50" s="348"/>
      <c r="B50" s="349"/>
      <c r="C50" s="350" t="s">
        <v>45</v>
      </c>
      <c r="D50" s="351"/>
      <c r="E50" s="353">
        <v>1</v>
      </c>
      <c r="F50" s="353">
        <v>60</v>
      </c>
      <c r="G50" s="360">
        <f>E50*F50</f>
        <v>60</v>
      </c>
      <c r="H50" s="35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</row>
    <row r="51" spans="1:290" ht="13.5">
      <c r="A51" s="348"/>
      <c r="B51" s="349"/>
      <c r="C51" s="350" t="s">
        <v>46</v>
      </c>
      <c r="D51" s="351"/>
      <c r="E51" s="352">
        <v>2</v>
      </c>
      <c r="F51" s="363">
        <v>20</v>
      </c>
      <c r="G51" s="362">
        <f>E51*F51</f>
        <v>40</v>
      </c>
      <c r="H51" s="358"/>
    </row>
    <row r="52" spans="1:290" s="31" customFormat="1" ht="13.5">
      <c r="A52" s="348"/>
      <c r="B52" s="349"/>
      <c r="C52" s="359" t="s">
        <v>47</v>
      </c>
      <c r="D52" s="351"/>
      <c r="E52" s="352">
        <v>1</v>
      </c>
      <c r="F52" s="353">
        <v>450</v>
      </c>
      <c r="G52" s="362">
        <f>E52*F52</f>
        <v>450</v>
      </c>
      <c r="H52" s="35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</row>
    <row r="53" spans="1:290" s="17" customFormat="1" ht="11.45" customHeight="1">
      <c r="A53" s="23"/>
      <c r="B53" s="24"/>
      <c r="C53" s="30"/>
      <c r="D53" s="25"/>
      <c r="E53" s="26"/>
      <c r="F53" s="27" t="s">
        <v>15</v>
      </c>
      <c r="G53" s="28">
        <f>SUM(G32:G52)</f>
        <v>3909</v>
      </c>
      <c r="H53" s="2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</row>
    <row r="54" spans="1:290" s="17" customFormat="1" ht="11.25" customHeight="1">
      <c r="A54" s="334"/>
      <c r="B54" s="335"/>
      <c r="C54" s="336"/>
      <c r="D54" s="337"/>
      <c r="E54" s="338"/>
      <c r="F54" s="27" t="s">
        <v>16</v>
      </c>
      <c r="G54" s="339">
        <v>1.5</v>
      </c>
      <c r="H54" s="34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</row>
    <row r="55" spans="1:290" s="17" customFormat="1" ht="11.25" customHeight="1">
      <c r="A55" s="341"/>
      <c r="B55" s="342"/>
      <c r="C55" s="343"/>
      <c r="D55" s="344"/>
      <c r="E55" s="345"/>
      <c r="F55" s="27" t="s">
        <v>17</v>
      </c>
      <c r="G55" s="346">
        <f>G53*G54</f>
        <v>5863.5</v>
      </c>
      <c r="H55" s="34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</row>
    <row r="56" spans="1:290" s="17" customFormat="1" ht="13.5">
      <c r="A56" s="207" t="s">
        <v>48</v>
      </c>
      <c r="B56" s="140"/>
      <c r="C56" s="144"/>
      <c r="D56" s="142"/>
      <c r="E56" s="142"/>
      <c r="F56" s="143"/>
      <c r="G56" s="143"/>
      <c r="H56" s="23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</row>
    <row r="57" spans="1:290" s="17" customFormat="1" ht="13.5">
      <c r="A57" s="348"/>
      <c r="B57" s="349"/>
      <c r="C57" s="359" t="s">
        <v>49</v>
      </c>
      <c r="D57" s="364"/>
      <c r="E57" s="352">
        <v>1</v>
      </c>
      <c r="F57" s="365">
        <v>300</v>
      </c>
      <c r="G57" s="362">
        <f>E57*F57</f>
        <v>300</v>
      </c>
      <c r="H57" s="3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</row>
    <row r="58" spans="1:290" s="17" customFormat="1" ht="13.5">
      <c r="A58" s="348"/>
      <c r="B58" s="349"/>
      <c r="C58" s="359" t="s">
        <v>50</v>
      </c>
      <c r="D58" s="364"/>
      <c r="E58" s="352">
        <v>1</v>
      </c>
      <c r="F58" s="366">
        <v>110</v>
      </c>
      <c r="G58" s="362">
        <f>E58*F58</f>
        <v>110</v>
      </c>
      <c r="H58" s="356"/>
    </row>
    <row r="59" spans="1:290" s="17" customFormat="1" ht="13.5">
      <c r="A59" s="348"/>
      <c r="B59" s="349"/>
      <c r="C59" s="350" t="s">
        <v>51</v>
      </c>
      <c r="D59" s="364"/>
      <c r="E59" s="352">
        <v>3</v>
      </c>
      <c r="F59" s="363">
        <v>54</v>
      </c>
      <c r="G59" s="362">
        <f t="shared" ref="G59:G61" si="2">E59*F59</f>
        <v>162</v>
      </c>
      <c r="H59" s="367"/>
    </row>
    <row r="60" spans="1:290" s="17" customFormat="1" ht="13.5">
      <c r="A60" s="348"/>
      <c r="B60" s="349"/>
      <c r="C60" s="359" t="s">
        <v>66</v>
      </c>
      <c r="D60" s="364"/>
      <c r="E60" s="368">
        <v>0</v>
      </c>
      <c r="F60" s="369">
        <v>160</v>
      </c>
      <c r="G60" s="362">
        <f t="shared" si="2"/>
        <v>0</v>
      </c>
      <c r="H60" s="370"/>
    </row>
    <row r="61" spans="1:290" s="17" customFormat="1" ht="13.5">
      <c r="A61" s="348"/>
      <c r="B61" s="349"/>
      <c r="C61" s="359" t="s">
        <v>52</v>
      </c>
      <c r="D61" s="364"/>
      <c r="E61" s="368">
        <v>1</v>
      </c>
      <c r="F61" s="369">
        <v>60</v>
      </c>
      <c r="G61" s="362">
        <f t="shared" si="2"/>
        <v>60</v>
      </c>
      <c r="H61" s="371"/>
    </row>
    <row r="62" spans="1:290" s="17" customFormat="1" ht="11.25" customHeight="1">
      <c r="A62" s="23"/>
      <c r="B62" s="24"/>
      <c r="C62" s="30"/>
      <c r="D62" s="32"/>
      <c r="E62" s="26"/>
      <c r="F62" s="27" t="s">
        <v>53</v>
      </c>
      <c r="G62" s="28">
        <f>SUM(G57:G61)</f>
        <v>632</v>
      </c>
      <c r="H62" s="29"/>
    </row>
    <row r="63" spans="1:290" s="17" customFormat="1" ht="11.25" customHeight="1">
      <c r="A63" s="23"/>
      <c r="B63" s="24"/>
      <c r="C63" s="336"/>
      <c r="D63" s="372"/>
      <c r="E63" s="338"/>
      <c r="F63" s="27" t="s">
        <v>16</v>
      </c>
      <c r="G63" s="339">
        <v>1.5</v>
      </c>
      <c r="H63" s="340"/>
    </row>
    <row r="64" spans="1:290" s="17" customFormat="1" ht="11.25" customHeight="1">
      <c r="A64" s="23"/>
      <c r="B64" s="33"/>
      <c r="C64" s="373"/>
      <c r="D64" s="374"/>
      <c r="E64" s="375"/>
      <c r="F64" s="27" t="s">
        <v>17</v>
      </c>
      <c r="G64" s="376">
        <f>G62*G63</f>
        <v>948</v>
      </c>
      <c r="H64" s="377"/>
    </row>
    <row r="65" spans="1:8" s="17" customFormat="1" ht="13.5">
      <c r="A65" s="207" t="s">
        <v>54</v>
      </c>
      <c r="B65" s="140"/>
      <c r="C65" s="144"/>
      <c r="D65" s="142"/>
      <c r="E65" s="142"/>
      <c r="F65" s="143"/>
      <c r="G65" s="143"/>
      <c r="H65" s="270"/>
    </row>
    <row r="66" spans="1:8" s="17" customFormat="1" ht="26.45" customHeight="1">
      <c r="A66" s="348"/>
      <c r="B66" s="349"/>
      <c r="C66" s="350" t="s">
        <v>55</v>
      </c>
      <c r="D66" s="364"/>
      <c r="E66" s="352">
        <v>3</v>
      </c>
      <c r="F66" s="365">
        <v>100</v>
      </c>
      <c r="G66" s="362">
        <f>E66*F66</f>
        <v>300</v>
      </c>
      <c r="H66" s="370"/>
    </row>
    <row r="67" spans="1:8" s="17" customFormat="1" ht="13.15" customHeight="1">
      <c r="A67" s="348"/>
      <c r="B67" s="349"/>
      <c r="C67" s="350" t="s">
        <v>56</v>
      </c>
      <c r="D67" s="364"/>
      <c r="E67" s="352">
        <v>1</v>
      </c>
      <c r="F67" s="365">
        <v>140</v>
      </c>
      <c r="G67" s="362">
        <f>E67*F67</f>
        <v>140</v>
      </c>
      <c r="H67" s="370"/>
    </row>
    <row r="68" spans="1:8" s="17" customFormat="1" ht="13.15" customHeight="1">
      <c r="A68" s="348"/>
      <c r="B68" s="349"/>
      <c r="C68" s="350" t="s">
        <v>57</v>
      </c>
      <c r="D68" s="364"/>
      <c r="E68" s="352">
        <v>1</v>
      </c>
      <c r="F68" s="365">
        <v>180</v>
      </c>
      <c r="G68" s="362">
        <f t="shared" ref="G68:G69" si="3">E68*F68</f>
        <v>180</v>
      </c>
      <c r="H68" s="370"/>
    </row>
    <row r="69" spans="1:8" s="17" customFormat="1" ht="13.15" customHeight="1">
      <c r="A69" s="348"/>
      <c r="B69" s="349"/>
      <c r="C69" s="350" t="s">
        <v>58</v>
      </c>
      <c r="D69" s="364"/>
      <c r="E69" s="353">
        <v>1</v>
      </c>
      <c r="F69" s="365">
        <v>200</v>
      </c>
      <c r="G69" s="362">
        <f t="shared" si="3"/>
        <v>200</v>
      </c>
      <c r="H69" s="370"/>
    </row>
    <row r="70" spans="1:8" s="17" customFormat="1" ht="13.5">
      <c r="A70" s="23"/>
      <c r="B70" s="24"/>
      <c r="C70" s="30"/>
      <c r="D70" s="32"/>
      <c r="E70" s="26"/>
      <c r="F70" s="27" t="s">
        <v>53</v>
      </c>
      <c r="G70" s="28">
        <f>SUM(G66:G69)</f>
        <v>820</v>
      </c>
      <c r="H70" s="29"/>
    </row>
    <row r="71" spans="1:8" s="17" customFormat="1" ht="13.5">
      <c r="A71" s="23"/>
      <c r="B71" s="24"/>
      <c r="C71" s="336"/>
      <c r="D71" s="372"/>
      <c r="E71" s="338"/>
      <c r="F71" s="27" t="s">
        <v>16</v>
      </c>
      <c r="G71" s="339">
        <v>1.5</v>
      </c>
      <c r="H71" s="340"/>
    </row>
    <row r="72" spans="1:8" s="17" customFormat="1" ht="11.25" customHeight="1">
      <c r="A72" s="23"/>
      <c r="B72" s="33"/>
      <c r="C72" s="373"/>
      <c r="D72" s="374"/>
      <c r="E72" s="375"/>
      <c r="F72" s="27" t="s">
        <v>17</v>
      </c>
      <c r="G72" s="376">
        <f>G70*G71</f>
        <v>1230</v>
      </c>
      <c r="H72" s="377"/>
    </row>
    <row r="73" spans="1:8" s="17" customFormat="1" ht="11.25" customHeight="1">
      <c r="A73" s="207" t="s">
        <v>59</v>
      </c>
      <c r="B73" s="140"/>
      <c r="C73" s="144"/>
      <c r="D73" s="142"/>
      <c r="E73" s="142"/>
      <c r="F73" s="143"/>
      <c r="G73" s="143"/>
      <c r="H73" s="236"/>
    </row>
    <row r="74" spans="1:8" s="17" customFormat="1" ht="13.15" customHeight="1">
      <c r="A74" s="348"/>
      <c r="B74" s="349"/>
      <c r="C74" s="350" t="s">
        <v>60</v>
      </c>
      <c r="D74" s="364"/>
      <c r="E74" s="353">
        <v>2</v>
      </c>
      <c r="F74" s="365">
        <v>126</v>
      </c>
      <c r="G74" s="360">
        <f>E74*F74</f>
        <v>252</v>
      </c>
      <c r="H74" s="378"/>
    </row>
    <row r="75" spans="1:8" ht="13.5">
      <c r="A75" s="348"/>
      <c r="B75" s="349"/>
      <c r="C75" s="350" t="s">
        <v>61</v>
      </c>
      <c r="D75" s="364"/>
      <c r="E75" s="353">
        <v>2</v>
      </c>
      <c r="F75" s="353">
        <v>108</v>
      </c>
      <c r="G75" s="360">
        <f>E75*F75</f>
        <v>216</v>
      </c>
      <c r="H75" s="378"/>
    </row>
    <row r="76" spans="1:8" ht="13.5">
      <c r="A76" s="23"/>
      <c r="B76" s="24"/>
      <c r="C76" s="34"/>
      <c r="D76" s="32"/>
      <c r="E76" s="26"/>
      <c r="F76" s="27" t="s">
        <v>53</v>
      </c>
      <c r="G76" s="28">
        <f>SUM(G74:G75)</f>
        <v>468</v>
      </c>
      <c r="H76" s="35"/>
    </row>
    <row r="77" spans="1:8" ht="13.5">
      <c r="A77" s="334"/>
      <c r="B77" s="335"/>
      <c r="C77" s="336"/>
      <c r="D77" s="372"/>
      <c r="E77" s="338"/>
      <c r="F77" s="27" t="s">
        <v>16</v>
      </c>
      <c r="G77" s="339">
        <v>1.5</v>
      </c>
      <c r="H77" s="379"/>
    </row>
    <row r="78" spans="1:8" ht="14.25" thickBot="1">
      <c r="A78" s="380"/>
      <c r="B78" s="381"/>
      <c r="C78" s="382"/>
      <c r="D78" s="383"/>
      <c r="E78" s="384"/>
      <c r="F78" s="385" t="s">
        <v>17</v>
      </c>
      <c r="G78" s="386">
        <f>G76*G77</f>
        <v>702</v>
      </c>
      <c r="H78" s="387"/>
    </row>
  </sheetData>
  <mergeCells count="1">
    <mergeCell ref="A1:H1"/>
  </mergeCells>
  <printOptions horizontalCentered="1"/>
  <pageMargins left="0.7" right="0.7" top="0.75" bottom="0.75" header="0.3" footer="0.3"/>
  <pageSetup scale="78" fitToHeight="0" orientation="portrait" r:id="rId1"/>
  <rowBreaks count="1" manualBreakCount="1">
    <brk id="5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574D-B65C-4961-A99C-6AC58E8429C8}">
  <sheetPr>
    <tabColor theme="4" tint="0.39997558519241921"/>
    <pageSetUpPr fitToPage="1"/>
  </sheetPr>
  <dimension ref="A1:CH98"/>
  <sheetViews>
    <sheetView zoomScale="170" zoomScaleNormal="170" zoomScaleSheetLayoutView="150" workbookViewId="0">
      <selection sqref="A1:H1"/>
    </sheetView>
  </sheetViews>
  <sheetFormatPr defaultColWidth="9.140625" defaultRowHeight="11.25"/>
  <cols>
    <col min="1" max="1" width="6.42578125" style="36" customWidth="1"/>
    <col min="2" max="2" width="7.85546875" style="1" customWidth="1"/>
    <col min="3" max="3" width="32.5703125" style="1" customWidth="1"/>
    <col min="4" max="4" width="8.5703125" style="1" customWidth="1"/>
    <col min="5" max="5" width="10.7109375" style="1" customWidth="1"/>
    <col min="6" max="7" width="10.7109375" style="37" customWidth="1"/>
    <col min="8" max="8" width="31.85546875" style="37" customWidth="1"/>
    <col min="9" max="16384" width="9.140625" style="1"/>
  </cols>
  <sheetData>
    <row r="1" spans="1:9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9" ht="18" customHeight="1">
      <c r="A2" s="2" t="s">
        <v>67</v>
      </c>
      <c r="B2" s="3"/>
      <c r="C2" s="4"/>
      <c r="D2" s="4"/>
      <c r="E2" s="4"/>
      <c r="F2" s="5"/>
      <c r="G2" s="5"/>
      <c r="H2" s="6"/>
    </row>
    <row r="3" spans="1:9" s="7" customFormat="1" ht="18" customHeight="1">
      <c r="A3" s="198"/>
      <c r="B3" s="287"/>
      <c r="C3" s="287"/>
      <c r="D3" s="287"/>
      <c r="E3" s="287"/>
      <c r="F3" s="287"/>
      <c r="G3" s="287"/>
      <c r="H3" s="199"/>
    </row>
    <row r="4" spans="1:9" ht="11.25" customHeight="1">
      <c r="A4" s="8"/>
      <c r="B4" s="9"/>
      <c r="C4" s="10" t="s">
        <v>1</v>
      </c>
      <c r="D4" s="11">
        <f>SUM(G24,G47,G75,G84,G90,G96)</f>
        <v>11021</v>
      </c>
      <c r="E4" s="12"/>
      <c r="F4" s="12"/>
      <c r="G4" s="12"/>
      <c r="H4" s="13" t="s">
        <v>68</v>
      </c>
    </row>
    <row r="5" spans="1:9" ht="11.25" customHeight="1">
      <c r="A5" s="388"/>
      <c r="B5" s="288"/>
      <c r="C5" s="289" t="s">
        <v>2</v>
      </c>
      <c r="D5" s="290">
        <v>1.55</v>
      </c>
      <c r="E5" s="389"/>
      <c r="F5" s="389"/>
      <c r="G5" s="292"/>
      <c r="H5" s="293"/>
    </row>
    <row r="6" spans="1:9" ht="18.75" customHeight="1">
      <c r="A6" s="390"/>
      <c r="B6" s="391"/>
      <c r="C6" s="392" t="s">
        <v>3</v>
      </c>
      <c r="D6" s="11">
        <f>D4*D5</f>
        <v>17082.55</v>
      </c>
      <c r="E6" s="389"/>
      <c r="F6" s="389"/>
      <c r="G6" s="393"/>
      <c r="H6" s="14"/>
    </row>
    <row r="7" spans="1:9" ht="11.25" customHeight="1">
      <c r="A7" s="394"/>
      <c r="B7" s="395"/>
      <c r="C7" s="15"/>
      <c r="D7" s="396"/>
      <c r="E7" s="397"/>
      <c r="F7" s="398"/>
      <c r="G7" s="399"/>
      <c r="H7" s="400"/>
    </row>
    <row r="8" spans="1:9" ht="12" customHeight="1">
      <c r="A8" s="401"/>
      <c r="B8" s="16"/>
      <c r="C8" s="16"/>
      <c r="D8" s="402"/>
      <c r="E8" s="403" t="s">
        <v>4</v>
      </c>
      <c r="F8" s="403" t="s">
        <v>5</v>
      </c>
      <c r="G8" s="403" t="s">
        <v>6</v>
      </c>
      <c r="H8" s="404" t="s">
        <v>7</v>
      </c>
    </row>
    <row r="9" spans="1:9" s="17" customFormat="1" ht="13.5">
      <c r="A9" s="207" t="s">
        <v>8</v>
      </c>
      <c r="B9" s="140"/>
      <c r="C9" s="141"/>
      <c r="D9" s="142"/>
      <c r="E9" s="142"/>
      <c r="F9" s="143"/>
      <c r="G9" s="143"/>
      <c r="H9" s="208"/>
      <c r="I9" s="1"/>
    </row>
    <row r="10" spans="1:9" ht="13.5">
      <c r="A10" s="348"/>
      <c r="B10" s="349"/>
      <c r="C10" s="350" t="s">
        <v>69</v>
      </c>
      <c r="D10" s="351"/>
      <c r="E10" s="352">
        <v>1</v>
      </c>
      <c r="F10" s="363">
        <v>160</v>
      </c>
      <c r="G10" s="362">
        <f>E10*F10</f>
        <v>160</v>
      </c>
      <c r="H10" s="354"/>
    </row>
    <row r="11" spans="1:9" s="38" customFormat="1" ht="13.5">
      <c r="A11" s="405"/>
      <c r="B11" s="406"/>
      <c r="C11" s="407" t="s">
        <v>70</v>
      </c>
      <c r="D11" s="408"/>
      <c r="E11" s="409">
        <v>1</v>
      </c>
      <c r="F11" s="409">
        <v>40</v>
      </c>
      <c r="G11" s="409">
        <f t="shared" ref="G11" si="0">F11*E11</f>
        <v>40</v>
      </c>
      <c r="H11" s="410"/>
    </row>
    <row r="12" spans="1:9" ht="13.5">
      <c r="A12" s="348"/>
      <c r="B12" s="349"/>
      <c r="C12" s="359" t="s">
        <v>71</v>
      </c>
      <c r="D12" s="411"/>
      <c r="E12" s="353">
        <v>1</v>
      </c>
      <c r="F12" s="365">
        <v>60</v>
      </c>
      <c r="G12" s="360">
        <f>E12*F12</f>
        <v>60</v>
      </c>
      <c r="H12" s="356"/>
    </row>
    <row r="13" spans="1:9" s="39" customFormat="1" ht="41.45" customHeight="1">
      <c r="A13" s="348"/>
      <c r="B13" s="349"/>
      <c r="C13" s="359" t="s">
        <v>72</v>
      </c>
      <c r="D13" s="412"/>
      <c r="E13" s="353">
        <v>1</v>
      </c>
      <c r="F13" s="365">
        <v>60</v>
      </c>
      <c r="G13" s="360">
        <f>E13*F13</f>
        <v>60</v>
      </c>
      <c r="H13" s="378"/>
    </row>
    <row r="14" spans="1:9" s="17" customFormat="1" ht="13.5">
      <c r="A14" s="348"/>
      <c r="B14" s="349"/>
      <c r="C14" s="359" t="s">
        <v>9</v>
      </c>
      <c r="D14" s="412"/>
      <c r="E14" s="353"/>
      <c r="F14" s="365"/>
      <c r="G14" s="413"/>
      <c r="H14" s="378"/>
      <c r="I14" s="1"/>
    </row>
    <row r="15" spans="1:9" s="17" customFormat="1" ht="13.5">
      <c r="A15" s="18"/>
      <c r="B15" s="19"/>
      <c r="C15" s="40" t="s">
        <v>10</v>
      </c>
      <c r="D15" s="41"/>
      <c r="E15" s="414">
        <v>36</v>
      </c>
      <c r="F15" s="218">
        <v>20</v>
      </c>
      <c r="G15" s="219">
        <f>F15*E15</f>
        <v>720</v>
      </c>
      <c r="H15" s="378"/>
      <c r="I15" s="1"/>
    </row>
    <row r="16" spans="1:9" s="17" customFormat="1" ht="13.5">
      <c r="A16" s="348"/>
      <c r="B16" s="349"/>
      <c r="C16" s="359" t="s">
        <v>12</v>
      </c>
      <c r="D16" s="412"/>
      <c r="E16" s="353">
        <v>2</v>
      </c>
      <c r="F16" s="365">
        <v>60</v>
      </c>
      <c r="G16" s="360">
        <f t="shared" ref="G16:G23" si="1">E16*F16</f>
        <v>120</v>
      </c>
      <c r="H16" s="378"/>
    </row>
    <row r="17" spans="1:8" s="17" customFormat="1" ht="13.5">
      <c r="A17" s="348"/>
      <c r="B17" s="349"/>
      <c r="C17" s="359" t="s">
        <v>73</v>
      </c>
      <c r="D17" s="412"/>
      <c r="E17" s="353">
        <v>1</v>
      </c>
      <c r="F17" s="365">
        <v>40</v>
      </c>
      <c r="G17" s="360">
        <f>E17*F17</f>
        <v>40</v>
      </c>
      <c r="H17" s="378"/>
    </row>
    <row r="18" spans="1:8" s="17" customFormat="1" ht="13.5">
      <c r="A18" s="348"/>
      <c r="B18" s="349"/>
      <c r="C18" s="359" t="s">
        <v>74</v>
      </c>
      <c r="D18" s="412"/>
      <c r="E18" s="353">
        <v>1</v>
      </c>
      <c r="F18" s="365">
        <v>40</v>
      </c>
      <c r="G18" s="360">
        <f t="shared" ref="G18" si="2">E18*F18</f>
        <v>40</v>
      </c>
      <c r="H18" s="378"/>
    </row>
    <row r="19" spans="1:8" s="17" customFormat="1" ht="13.5">
      <c r="A19" s="348"/>
      <c r="B19" s="349"/>
      <c r="C19" s="359" t="s">
        <v>75</v>
      </c>
      <c r="D19" s="412"/>
      <c r="E19" s="415">
        <v>2</v>
      </c>
      <c r="F19" s="365">
        <v>40</v>
      </c>
      <c r="G19" s="360">
        <f t="shared" si="1"/>
        <v>80</v>
      </c>
      <c r="H19" s="378"/>
    </row>
    <row r="20" spans="1:8" s="17" customFormat="1" ht="13.5">
      <c r="A20" s="348"/>
      <c r="B20" s="349"/>
      <c r="C20" s="359" t="s">
        <v>76</v>
      </c>
      <c r="D20" s="412"/>
      <c r="E20" s="415">
        <v>3</v>
      </c>
      <c r="F20" s="365">
        <v>80</v>
      </c>
      <c r="G20" s="360">
        <f t="shared" si="1"/>
        <v>240</v>
      </c>
      <c r="H20" s="378"/>
    </row>
    <row r="21" spans="1:8" s="17" customFormat="1" ht="13.5">
      <c r="A21" s="348"/>
      <c r="B21" s="349"/>
      <c r="C21" s="359" t="s">
        <v>77</v>
      </c>
      <c r="D21" s="412"/>
      <c r="E21" s="353">
        <v>1</v>
      </c>
      <c r="F21" s="365">
        <v>40</v>
      </c>
      <c r="G21" s="360">
        <f t="shared" si="1"/>
        <v>40</v>
      </c>
      <c r="H21" s="378"/>
    </row>
    <row r="22" spans="1:8" s="17" customFormat="1" ht="13.5">
      <c r="A22" s="348"/>
      <c r="B22" s="349"/>
      <c r="C22" s="359" t="s">
        <v>78</v>
      </c>
      <c r="D22" s="412"/>
      <c r="E22" s="353">
        <v>1</v>
      </c>
      <c r="F22" s="365">
        <v>40</v>
      </c>
      <c r="G22" s="360">
        <f t="shared" si="1"/>
        <v>40</v>
      </c>
      <c r="H22" s="378"/>
    </row>
    <row r="23" spans="1:8" s="17" customFormat="1" ht="13.5">
      <c r="A23" s="348"/>
      <c r="B23" s="349"/>
      <c r="C23" s="359" t="s">
        <v>41</v>
      </c>
      <c r="D23" s="412"/>
      <c r="E23" s="353">
        <v>1</v>
      </c>
      <c r="F23" s="365">
        <v>24</v>
      </c>
      <c r="G23" s="360">
        <f t="shared" si="1"/>
        <v>24</v>
      </c>
      <c r="H23" s="378"/>
    </row>
    <row r="24" spans="1:8" s="17" customFormat="1" ht="11.45" customHeight="1">
      <c r="A24" s="23"/>
      <c r="B24" s="24"/>
      <c r="C24" s="30"/>
      <c r="D24" s="25"/>
      <c r="E24" s="26"/>
      <c r="F24" s="27" t="s">
        <v>15</v>
      </c>
      <c r="G24" s="28">
        <f>SUM(G10:G23)</f>
        <v>1664</v>
      </c>
      <c r="H24" s="29"/>
    </row>
    <row r="25" spans="1:8" s="17" customFormat="1" ht="11.45" customHeight="1">
      <c r="A25" s="273"/>
      <c r="B25" s="335"/>
      <c r="C25" s="275"/>
      <c r="D25" s="337"/>
      <c r="E25" s="276"/>
      <c r="F25" s="27" t="s">
        <v>16</v>
      </c>
      <c r="G25" s="277">
        <v>1.55</v>
      </c>
      <c r="H25" s="320"/>
    </row>
    <row r="26" spans="1:8" s="17" customFormat="1" ht="11.45" customHeight="1">
      <c r="A26" s="416"/>
      <c r="B26" s="417"/>
      <c r="C26" s="418"/>
      <c r="D26" s="419"/>
      <c r="E26" s="420"/>
      <c r="F26" s="27" t="s">
        <v>17</v>
      </c>
      <c r="G26" s="421">
        <f>G24*G25</f>
        <v>2579.2000000000003</v>
      </c>
      <c r="H26" s="422"/>
    </row>
    <row r="27" spans="1:8" s="17" customFormat="1" ht="13.5">
      <c r="A27" s="207" t="s">
        <v>79</v>
      </c>
      <c r="B27" s="140"/>
      <c r="C27" s="144"/>
      <c r="D27" s="142"/>
      <c r="E27" s="145"/>
      <c r="F27" s="143"/>
      <c r="G27" s="143"/>
      <c r="H27" s="236"/>
    </row>
    <row r="28" spans="1:8" s="17" customFormat="1" ht="13.5">
      <c r="A28" s="348"/>
      <c r="B28" s="349"/>
      <c r="C28" s="359" t="s">
        <v>80</v>
      </c>
      <c r="D28" s="412"/>
      <c r="E28" s="353">
        <v>1</v>
      </c>
      <c r="F28" s="353">
        <v>50</v>
      </c>
      <c r="G28" s="365">
        <f>E28*F28</f>
        <v>50</v>
      </c>
      <c r="H28" s="378"/>
    </row>
    <row r="29" spans="1:8" s="17" customFormat="1" ht="13.5">
      <c r="A29" s="348"/>
      <c r="B29" s="349"/>
      <c r="C29" s="359" t="s">
        <v>81</v>
      </c>
      <c r="D29" s="412"/>
      <c r="E29" s="353">
        <v>2</v>
      </c>
      <c r="F29" s="353">
        <v>140</v>
      </c>
      <c r="G29" s="365">
        <f>E29*F29</f>
        <v>280</v>
      </c>
      <c r="H29" s="378"/>
    </row>
    <row r="30" spans="1:8" s="17" customFormat="1" ht="13.5">
      <c r="A30" s="348"/>
      <c r="B30" s="349"/>
      <c r="C30" s="359" t="s">
        <v>82</v>
      </c>
      <c r="D30" s="412"/>
      <c r="E30" s="357">
        <v>6</v>
      </c>
      <c r="F30" s="353">
        <v>30</v>
      </c>
      <c r="G30" s="365">
        <f>E30*F30</f>
        <v>180</v>
      </c>
      <c r="H30" s="378"/>
    </row>
    <row r="31" spans="1:8" s="17" customFormat="1" ht="13.5">
      <c r="A31" s="423"/>
      <c r="B31" s="424"/>
      <c r="C31" s="359" t="s">
        <v>83</v>
      </c>
      <c r="D31" s="425"/>
      <c r="E31" s="353">
        <v>0</v>
      </c>
      <c r="F31" s="353">
        <v>100</v>
      </c>
      <c r="G31" s="365">
        <f t="shared" ref="G31:G46" si="3">E31*F31</f>
        <v>0</v>
      </c>
      <c r="H31" s="356"/>
    </row>
    <row r="32" spans="1:8" s="17" customFormat="1" ht="13.5">
      <c r="A32" s="423"/>
      <c r="B32" s="424"/>
      <c r="C32" s="359" t="s">
        <v>84</v>
      </c>
      <c r="D32" s="425"/>
      <c r="E32" s="353">
        <v>0</v>
      </c>
      <c r="F32" s="353">
        <v>60</v>
      </c>
      <c r="G32" s="365">
        <f t="shared" si="3"/>
        <v>0</v>
      </c>
      <c r="H32" s="356"/>
    </row>
    <row r="33" spans="1:8" s="17" customFormat="1" ht="13.5">
      <c r="A33" s="423"/>
      <c r="B33" s="424"/>
      <c r="C33" s="359" t="s">
        <v>85</v>
      </c>
      <c r="D33" s="425"/>
      <c r="E33" s="357">
        <v>8</v>
      </c>
      <c r="F33" s="353">
        <v>140</v>
      </c>
      <c r="G33" s="365">
        <f t="shared" si="3"/>
        <v>1120</v>
      </c>
      <c r="H33" s="356"/>
    </row>
    <row r="34" spans="1:8" s="17" customFormat="1" ht="13.5">
      <c r="A34" s="423"/>
      <c r="B34" s="424"/>
      <c r="C34" s="359" t="s">
        <v>86</v>
      </c>
      <c r="D34" s="425"/>
      <c r="E34" s="357">
        <v>4</v>
      </c>
      <c r="F34" s="353">
        <v>140</v>
      </c>
      <c r="G34" s="365">
        <f>E34*F34</f>
        <v>560</v>
      </c>
      <c r="H34" s="356"/>
    </row>
    <row r="35" spans="1:8" s="17" customFormat="1" ht="13.5">
      <c r="A35" s="423"/>
      <c r="B35" s="424"/>
      <c r="C35" s="359" t="s">
        <v>87</v>
      </c>
      <c r="D35" s="425"/>
      <c r="E35" s="353">
        <v>1</v>
      </c>
      <c r="F35" s="353">
        <v>140</v>
      </c>
      <c r="G35" s="365">
        <f>E35*F35</f>
        <v>140</v>
      </c>
      <c r="H35" s="356"/>
    </row>
    <row r="36" spans="1:8" s="17" customFormat="1" ht="13.5">
      <c r="A36" s="423"/>
      <c r="B36" s="424"/>
      <c r="C36" s="350" t="s">
        <v>88</v>
      </c>
      <c r="D36" s="426"/>
      <c r="E36" s="352">
        <v>1</v>
      </c>
      <c r="F36" s="352">
        <v>100</v>
      </c>
      <c r="G36" s="363">
        <f>E36*F36</f>
        <v>100</v>
      </c>
      <c r="H36" s="354"/>
    </row>
    <row r="37" spans="1:8" s="17" customFormat="1" ht="13.5">
      <c r="A37" s="423"/>
      <c r="B37" s="424"/>
      <c r="C37" s="350" t="s">
        <v>89</v>
      </c>
      <c r="D37" s="426"/>
      <c r="E37" s="352">
        <v>2</v>
      </c>
      <c r="F37" s="352">
        <v>140</v>
      </c>
      <c r="G37" s="363">
        <f t="shared" ref="G37:G38" si="4">E37*F37</f>
        <v>280</v>
      </c>
      <c r="H37" s="354"/>
    </row>
    <row r="38" spans="1:8" s="17" customFormat="1" ht="13.5">
      <c r="A38" s="423"/>
      <c r="B38" s="424"/>
      <c r="C38" s="350" t="s">
        <v>90</v>
      </c>
      <c r="D38" s="426"/>
      <c r="E38" s="352">
        <v>1</v>
      </c>
      <c r="F38" s="352">
        <v>140</v>
      </c>
      <c r="G38" s="363">
        <f t="shared" si="4"/>
        <v>140</v>
      </c>
      <c r="H38" s="354"/>
    </row>
    <row r="39" spans="1:8" s="17" customFormat="1" ht="13.5">
      <c r="A39" s="423"/>
      <c r="B39" s="424"/>
      <c r="C39" s="350" t="s">
        <v>91</v>
      </c>
      <c r="D39" s="426"/>
      <c r="E39" s="352">
        <v>1</v>
      </c>
      <c r="F39" s="352">
        <v>200</v>
      </c>
      <c r="G39" s="363">
        <f>E39*F39</f>
        <v>200</v>
      </c>
      <c r="H39" s="354"/>
    </row>
    <row r="40" spans="1:8" s="17" customFormat="1" ht="13.5">
      <c r="A40" s="348"/>
      <c r="B40" s="349"/>
      <c r="C40" s="350" t="s">
        <v>92</v>
      </c>
      <c r="D40" s="351"/>
      <c r="E40" s="353">
        <v>1</v>
      </c>
      <c r="F40" s="427">
        <v>285</v>
      </c>
      <c r="G40" s="363">
        <f>E40*F40</f>
        <v>285</v>
      </c>
      <c r="H40" s="361"/>
    </row>
    <row r="41" spans="1:8" s="17" customFormat="1" ht="13.5">
      <c r="A41" s="423"/>
      <c r="B41" s="424"/>
      <c r="C41" s="350" t="s">
        <v>93</v>
      </c>
      <c r="D41" s="426"/>
      <c r="E41" s="428">
        <v>8</v>
      </c>
      <c r="F41" s="352">
        <v>60</v>
      </c>
      <c r="G41" s="363">
        <f t="shared" ref="G41:G43" si="5">E41*F41</f>
        <v>480</v>
      </c>
      <c r="H41" s="354"/>
    </row>
    <row r="42" spans="1:8" s="17" customFormat="1" ht="13.5">
      <c r="A42" s="423"/>
      <c r="B42" s="424"/>
      <c r="C42" s="350" t="s">
        <v>25</v>
      </c>
      <c r="D42" s="426"/>
      <c r="E42" s="352">
        <v>1</v>
      </c>
      <c r="F42" s="352">
        <v>70</v>
      </c>
      <c r="G42" s="363">
        <f t="shared" si="5"/>
        <v>70</v>
      </c>
      <c r="H42" s="354"/>
    </row>
    <row r="43" spans="1:8" s="17" customFormat="1" ht="13.5">
      <c r="A43" s="423"/>
      <c r="B43" s="424"/>
      <c r="C43" s="350" t="s">
        <v>94</v>
      </c>
      <c r="D43" s="426"/>
      <c r="E43" s="352">
        <v>1</v>
      </c>
      <c r="F43" s="352">
        <v>75</v>
      </c>
      <c r="G43" s="363">
        <f t="shared" si="5"/>
        <v>75</v>
      </c>
      <c r="H43" s="354"/>
    </row>
    <row r="44" spans="1:8" s="39" customFormat="1" ht="13.5">
      <c r="A44" s="348"/>
      <c r="B44" s="349"/>
      <c r="C44" s="350" t="s">
        <v>95</v>
      </c>
      <c r="D44" s="364"/>
      <c r="E44" s="353">
        <v>1</v>
      </c>
      <c r="F44" s="365">
        <v>100</v>
      </c>
      <c r="G44" s="362">
        <f>E44*F44</f>
        <v>100</v>
      </c>
      <c r="H44" s="378"/>
    </row>
    <row r="45" spans="1:8" s="39" customFormat="1" ht="13.5">
      <c r="A45" s="348"/>
      <c r="B45" s="349"/>
      <c r="C45" s="350" t="s">
        <v>96</v>
      </c>
      <c r="D45" s="364"/>
      <c r="E45" s="353">
        <v>1</v>
      </c>
      <c r="F45" s="365">
        <v>100</v>
      </c>
      <c r="G45" s="362">
        <f>E45*F45</f>
        <v>100</v>
      </c>
      <c r="H45" s="378"/>
    </row>
    <row r="46" spans="1:8" s="17" customFormat="1" ht="13.5">
      <c r="A46" s="423"/>
      <c r="B46" s="424"/>
      <c r="C46" s="350" t="s">
        <v>97</v>
      </c>
      <c r="D46" s="426"/>
      <c r="E46" s="352">
        <v>1</v>
      </c>
      <c r="F46" s="352">
        <v>120</v>
      </c>
      <c r="G46" s="363">
        <f t="shared" si="3"/>
        <v>120</v>
      </c>
      <c r="H46" s="354"/>
    </row>
    <row r="47" spans="1:8" s="17" customFormat="1" ht="11.45" customHeight="1">
      <c r="A47" s="23"/>
      <c r="B47" s="24"/>
      <c r="C47" s="30"/>
      <c r="D47" s="25"/>
      <c r="E47" s="26"/>
      <c r="F47" s="27" t="s">
        <v>15</v>
      </c>
      <c r="G47" s="28">
        <f>SUM(G28:G46)</f>
        <v>4280</v>
      </c>
      <c r="H47" s="29"/>
    </row>
    <row r="48" spans="1:8" s="17" customFormat="1" ht="11.45" customHeight="1">
      <c r="A48" s="273"/>
      <c r="B48" s="335"/>
      <c r="C48" s="275"/>
      <c r="D48" s="337"/>
      <c r="E48" s="276"/>
      <c r="F48" s="27" t="s">
        <v>16</v>
      </c>
      <c r="G48" s="277">
        <v>1.55</v>
      </c>
      <c r="H48" s="320"/>
    </row>
    <row r="49" spans="1:86" s="17" customFormat="1" ht="11.45" customHeight="1">
      <c r="A49" s="416"/>
      <c r="B49" s="417"/>
      <c r="C49" s="418"/>
      <c r="D49" s="419"/>
      <c r="E49" s="420"/>
      <c r="F49" s="27" t="s">
        <v>17</v>
      </c>
      <c r="G49" s="421">
        <f>G47*G48</f>
        <v>6634</v>
      </c>
      <c r="H49" s="422"/>
    </row>
    <row r="50" spans="1:86" s="17" customFormat="1" ht="13.5">
      <c r="A50" s="207" t="s">
        <v>27</v>
      </c>
      <c r="B50" s="140"/>
      <c r="C50" s="144"/>
      <c r="D50" s="142"/>
      <c r="E50" s="142"/>
      <c r="F50" s="143"/>
      <c r="G50" s="143"/>
      <c r="H50" s="250"/>
    </row>
    <row r="51" spans="1:86" ht="12.6" customHeight="1">
      <c r="A51" s="348"/>
      <c r="B51" s="349"/>
      <c r="C51" s="350" t="s">
        <v>98</v>
      </c>
      <c r="D51" s="351"/>
      <c r="E51" s="352">
        <v>2</v>
      </c>
      <c r="F51" s="353">
        <v>240</v>
      </c>
      <c r="G51" s="352">
        <f t="shared" ref="G51:G69" si="6">E51*F51</f>
        <v>480</v>
      </c>
      <c r="H51" s="354"/>
    </row>
    <row r="52" spans="1:86" ht="13.15" customHeight="1">
      <c r="A52" s="348"/>
      <c r="B52" s="349"/>
      <c r="C52" s="350" t="s">
        <v>99</v>
      </c>
      <c r="D52" s="351"/>
      <c r="E52" s="352">
        <v>2</v>
      </c>
      <c r="F52" s="353">
        <v>10</v>
      </c>
      <c r="G52" s="352">
        <f t="shared" si="6"/>
        <v>20</v>
      </c>
      <c r="H52" s="354"/>
    </row>
    <row r="53" spans="1:86" ht="13.5">
      <c r="A53" s="348"/>
      <c r="B53" s="349"/>
      <c r="C53" s="350" t="s">
        <v>100</v>
      </c>
      <c r="D53" s="351"/>
      <c r="E53" s="352">
        <v>1</v>
      </c>
      <c r="F53" s="353">
        <v>240</v>
      </c>
      <c r="G53" s="352">
        <f t="shared" si="6"/>
        <v>240</v>
      </c>
      <c r="H53" s="354"/>
    </row>
    <row r="54" spans="1:86" ht="13.5">
      <c r="A54" s="348"/>
      <c r="B54" s="349"/>
      <c r="C54" s="350" t="s">
        <v>101</v>
      </c>
      <c r="D54" s="351"/>
      <c r="E54" s="352">
        <v>1</v>
      </c>
      <c r="F54" s="353">
        <v>40</v>
      </c>
      <c r="G54" s="352">
        <f t="shared" si="6"/>
        <v>40</v>
      </c>
      <c r="H54" s="354"/>
    </row>
    <row r="55" spans="1:86" ht="13.5">
      <c r="A55" s="348"/>
      <c r="B55" s="349"/>
      <c r="C55" s="429" t="s">
        <v>35</v>
      </c>
      <c r="D55" s="351"/>
      <c r="E55" s="430">
        <v>1</v>
      </c>
      <c r="F55" s="431">
        <v>80</v>
      </c>
      <c r="G55" s="431">
        <f t="shared" si="6"/>
        <v>80</v>
      </c>
      <c r="H55" s="354"/>
    </row>
    <row r="56" spans="1:86" s="31" customFormat="1" ht="13.5">
      <c r="A56" s="348"/>
      <c r="B56" s="349"/>
      <c r="C56" s="429" t="s">
        <v>31</v>
      </c>
      <c r="D56" s="351"/>
      <c r="E56" s="430">
        <v>1</v>
      </c>
      <c r="F56" s="431">
        <v>145</v>
      </c>
      <c r="G56" s="431">
        <f t="shared" si="6"/>
        <v>145</v>
      </c>
      <c r="H56" s="356"/>
      <c r="I56" s="1"/>
    </row>
    <row r="57" spans="1:86" ht="13.5">
      <c r="A57" s="348"/>
      <c r="B57" s="349"/>
      <c r="C57" s="429" t="s">
        <v>32</v>
      </c>
      <c r="D57" s="351"/>
      <c r="E57" s="432">
        <v>1</v>
      </c>
      <c r="F57" s="430">
        <v>145</v>
      </c>
      <c r="G57" s="431">
        <f t="shared" si="6"/>
        <v>145</v>
      </c>
      <c r="H57" s="356"/>
    </row>
    <row r="58" spans="1:86" ht="13.5">
      <c r="A58" s="348"/>
      <c r="B58" s="349"/>
      <c r="C58" s="429" t="s">
        <v>33</v>
      </c>
      <c r="D58" s="351"/>
      <c r="E58" s="431">
        <v>1</v>
      </c>
      <c r="F58" s="430">
        <v>200</v>
      </c>
      <c r="G58" s="431">
        <f>E58*F58</f>
        <v>200</v>
      </c>
      <c r="H58" s="354"/>
    </row>
    <row r="59" spans="1:86" ht="13.5">
      <c r="A59" s="348"/>
      <c r="B59" s="349"/>
      <c r="C59" s="429" t="s">
        <v>34</v>
      </c>
      <c r="D59" s="351"/>
      <c r="E59" s="431">
        <v>1</v>
      </c>
      <c r="F59" s="431">
        <v>80</v>
      </c>
      <c r="G59" s="431">
        <f>E59*F59</f>
        <v>80</v>
      </c>
      <c r="H59" s="354"/>
    </row>
    <row r="60" spans="1:86" s="42" customFormat="1" ht="13.5">
      <c r="A60" s="348"/>
      <c r="B60" s="349"/>
      <c r="C60" s="350" t="s">
        <v>102</v>
      </c>
      <c r="D60" s="351"/>
      <c r="E60" s="433">
        <v>0</v>
      </c>
      <c r="F60" s="434">
        <v>100</v>
      </c>
      <c r="G60" s="431">
        <f t="shared" ref="G60" si="7">E60*F60</f>
        <v>0</v>
      </c>
      <c r="H60" s="378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</row>
    <row r="61" spans="1:86" ht="13.5">
      <c r="A61" s="348"/>
      <c r="B61" s="349"/>
      <c r="C61" s="429" t="s">
        <v>36</v>
      </c>
      <c r="D61" s="351"/>
      <c r="E61" s="431">
        <v>1</v>
      </c>
      <c r="F61" s="433">
        <v>60</v>
      </c>
      <c r="G61" s="431">
        <f>E61*F61</f>
        <v>60</v>
      </c>
      <c r="H61" s="354"/>
    </row>
    <row r="62" spans="1:86" ht="13.5">
      <c r="A62" s="348"/>
      <c r="B62" s="349"/>
      <c r="C62" s="429" t="s">
        <v>37</v>
      </c>
      <c r="D62" s="351"/>
      <c r="E62" s="432">
        <v>1</v>
      </c>
      <c r="F62" s="430">
        <v>140</v>
      </c>
      <c r="G62" s="431">
        <f t="shared" si="6"/>
        <v>140</v>
      </c>
      <c r="H62" s="354"/>
    </row>
    <row r="63" spans="1:86" ht="13.5">
      <c r="A63" s="348"/>
      <c r="B63" s="349"/>
      <c r="C63" s="429" t="s">
        <v>38</v>
      </c>
      <c r="D63" s="351"/>
      <c r="E63" s="431">
        <v>0</v>
      </c>
      <c r="F63" s="431">
        <v>40</v>
      </c>
      <c r="G63" s="431">
        <f t="shared" si="6"/>
        <v>0</v>
      </c>
      <c r="H63" s="354"/>
    </row>
    <row r="64" spans="1:86" s="31" customFormat="1" ht="13.5">
      <c r="A64" s="348"/>
      <c r="B64" s="349"/>
      <c r="C64" s="359" t="s">
        <v>39</v>
      </c>
      <c r="D64" s="351"/>
      <c r="E64" s="352">
        <v>1</v>
      </c>
      <c r="F64" s="353">
        <v>240</v>
      </c>
      <c r="G64" s="362">
        <f>E64*F64</f>
        <v>240</v>
      </c>
      <c r="H64" s="354"/>
      <c r="I64" s="1"/>
    </row>
    <row r="65" spans="1:9" ht="13.5">
      <c r="A65" s="348"/>
      <c r="B65" s="349"/>
      <c r="C65" s="350" t="s">
        <v>103</v>
      </c>
      <c r="D65" s="351"/>
      <c r="E65" s="352">
        <v>2</v>
      </c>
      <c r="F65" s="352">
        <v>18</v>
      </c>
      <c r="G65" s="352">
        <f>E65*F65</f>
        <v>36</v>
      </c>
      <c r="H65" s="354"/>
    </row>
    <row r="66" spans="1:9" ht="13.5">
      <c r="A66" s="348"/>
      <c r="B66" s="349"/>
      <c r="C66" s="350" t="s">
        <v>104</v>
      </c>
      <c r="D66" s="351"/>
      <c r="E66" s="352">
        <v>1</v>
      </c>
      <c r="F66" s="352">
        <v>20</v>
      </c>
      <c r="G66" s="352">
        <f>E66*F66</f>
        <v>20</v>
      </c>
      <c r="H66" s="354"/>
    </row>
    <row r="67" spans="1:9" ht="13.5">
      <c r="A67" s="348"/>
      <c r="B67" s="349"/>
      <c r="C67" s="350" t="s">
        <v>41</v>
      </c>
      <c r="D67" s="351"/>
      <c r="E67" s="352">
        <v>1</v>
      </c>
      <c r="F67" s="352">
        <v>24</v>
      </c>
      <c r="G67" s="352">
        <f>E67*F67</f>
        <v>24</v>
      </c>
      <c r="H67" s="354"/>
    </row>
    <row r="68" spans="1:9" ht="13.5">
      <c r="A68" s="348"/>
      <c r="B68" s="349"/>
      <c r="C68" s="350" t="s">
        <v>105</v>
      </c>
      <c r="D68" s="351"/>
      <c r="E68" s="352">
        <v>1</v>
      </c>
      <c r="F68" s="352">
        <v>45</v>
      </c>
      <c r="G68" s="352">
        <f t="shared" si="6"/>
        <v>45</v>
      </c>
      <c r="H68" s="354"/>
    </row>
    <row r="69" spans="1:9" ht="13.5">
      <c r="A69" s="348"/>
      <c r="B69" s="349"/>
      <c r="C69" s="350" t="s">
        <v>44</v>
      </c>
      <c r="D69" s="351"/>
      <c r="E69" s="353">
        <v>2</v>
      </c>
      <c r="F69" s="352">
        <v>10</v>
      </c>
      <c r="G69" s="352">
        <f t="shared" si="6"/>
        <v>20</v>
      </c>
      <c r="H69" s="354"/>
    </row>
    <row r="70" spans="1:9" s="31" customFormat="1" ht="13.5">
      <c r="A70" s="348"/>
      <c r="B70" s="349"/>
      <c r="C70" s="350" t="s">
        <v>106</v>
      </c>
      <c r="D70" s="351"/>
      <c r="E70" s="353">
        <v>1</v>
      </c>
      <c r="F70" s="352">
        <v>40</v>
      </c>
      <c r="G70" s="362">
        <f>E70*F70</f>
        <v>40</v>
      </c>
      <c r="H70" s="354"/>
      <c r="I70" s="1"/>
    </row>
    <row r="71" spans="1:9" ht="13.5">
      <c r="A71" s="348"/>
      <c r="B71" s="349"/>
      <c r="C71" s="350" t="s">
        <v>107</v>
      </c>
      <c r="D71" s="351"/>
      <c r="E71" s="352">
        <v>1</v>
      </c>
      <c r="F71" s="363">
        <v>20</v>
      </c>
      <c r="G71" s="362">
        <f>E71*F71</f>
        <v>20</v>
      </c>
      <c r="H71" s="354"/>
    </row>
    <row r="72" spans="1:9" ht="13.5">
      <c r="A72" s="348"/>
      <c r="B72" s="349"/>
      <c r="C72" s="350" t="s">
        <v>108</v>
      </c>
      <c r="D72" s="351"/>
      <c r="E72" s="352">
        <v>1</v>
      </c>
      <c r="F72" s="369">
        <v>100</v>
      </c>
      <c r="G72" s="362">
        <f>E72*F72</f>
        <v>100</v>
      </c>
      <c r="H72" s="354"/>
    </row>
    <row r="73" spans="1:9" ht="13.5">
      <c r="A73" s="348"/>
      <c r="B73" s="349"/>
      <c r="C73" s="350" t="s">
        <v>69</v>
      </c>
      <c r="D73" s="351"/>
      <c r="E73" s="352">
        <v>1</v>
      </c>
      <c r="F73" s="363">
        <v>160</v>
      </c>
      <c r="G73" s="362">
        <f>E73*F73</f>
        <v>160</v>
      </c>
      <c r="H73" s="354"/>
    </row>
    <row r="74" spans="1:9" ht="13.5">
      <c r="A74" s="348"/>
      <c r="B74" s="349"/>
      <c r="C74" s="350" t="s">
        <v>109</v>
      </c>
      <c r="D74" s="351"/>
      <c r="E74" s="352">
        <v>1</v>
      </c>
      <c r="F74" s="363">
        <v>1500</v>
      </c>
      <c r="G74" s="362">
        <f>E74*F74</f>
        <v>1500</v>
      </c>
      <c r="H74" s="354"/>
    </row>
    <row r="75" spans="1:9" s="17" customFormat="1" ht="11.45" customHeight="1">
      <c r="A75" s="23"/>
      <c r="B75" s="24"/>
      <c r="C75" s="30"/>
      <c r="D75" s="25"/>
      <c r="E75" s="26"/>
      <c r="F75" s="27" t="s">
        <v>15</v>
      </c>
      <c r="G75" s="28">
        <f>SUM(G51:G74)</f>
        <v>3835</v>
      </c>
      <c r="H75" s="29"/>
      <c r="I75" s="1"/>
    </row>
    <row r="76" spans="1:9" s="17" customFormat="1" ht="11.45" customHeight="1">
      <c r="A76" s="273"/>
      <c r="B76" s="335"/>
      <c r="C76" s="275"/>
      <c r="D76" s="337"/>
      <c r="E76" s="276"/>
      <c r="F76" s="27" t="s">
        <v>16</v>
      </c>
      <c r="G76" s="277">
        <v>1.55</v>
      </c>
      <c r="H76" s="320"/>
    </row>
    <row r="77" spans="1:9" s="17" customFormat="1" ht="11.45" customHeight="1">
      <c r="A77" s="435"/>
      <c r="B77" s="436"/>
      <c r="C77" s="437"/>
      <c r="D77" s="438"/>
      <c r="E77" s="439"/>
      <c r="F77" s="27" t="s">
        <v>17</v>
      </c>
      <c r="G77" s="440">
        <f>G75*G76</f>
        <v>5944.25</v>
      </c>
      <c r="H77" s="441"/>
    </row>
    <row r="78" spans="1:9" s="17" customFormat="1" ht="13.5">
      <c r="A78" s="442" t="s">
        <v>48</v>
      </c>
      <c r="B78" s="443"/>
      <c r="C78" s="444"/>
      <c r="D78" s="445"/>
      <c r="E78" s="445"/>
      <c r="F78" s="446"/>
      <c r="G78" s="446"/>
      <c r="H78" s="447"/>
    </row>
    <row r="79" spans="1:9" s="17" customFormat="1" ht="13.5">
      <c r="A79" s="348"/>
      <c r="B79" s="349"/>
      <c r="C79" s="359" t="s">
        <v>49</v>
      </c>
      <c r="D79" s="155"/>
      <c r="E79" s="352">
        <v>1</v>
      </c>
      <c r="F79" s="448">
        <v>300</v>
      </c>
      <c r="G79" s="362">
        <f>E79*F79</f>
        <v>300</v>
      </c>
      <c r="H79" s="449"/>
    </row>
    <row r="80" spans="1:9" s="17" customFormat="1" ht="13.5">
      <c r="A80" s="348"/>
      <c r="B80" s="349"/>
      <c r="C80" s="359" t="s">
        <v>50</v>
      </c>
      <c r="D80" s="155"/>
      <c r="E80" s="352">
        <v>1</v>
      </c>
      <c r="F80" s="448">
        <v>120</v>
      </c>
      <c r="G80" s="362">
        <f>E80*F80</f>
        <v>120</v>
      </c>
      <c r="H80" s="450"/>
    </row>
    <row r="81" spans="1:8" s="17" customFormat="1" ht="13.5">
      <c r="A81" s="348"/>
      <c r="B81" s="349"/>
      <c r="C81" s="350" t="s">
        <v>51</v>
      </c>
      <c r="D81" s="155"/>
      <c r="E81" s="352">
        <v>2</v>
      </c>
      <c r="F81" s="363">
        <v>54</v>
      </c>
      <c r="G81" s="362">
        <f t="shared" ref="G81:G83" si="8">E81*F81</f>
        <v>108</v>
      </c>
      <c r="H81" s="451"/>
    </row>
    <row r="82" spans="1:8" s="17" customFormat="1" ht="13.5">
      <c r="A82" s="348"/>
      <c r="B82" s="349"/>
      <c r="C82" s="359" t="s">
        <v>110</v>
      </c>
      <c r="D82" s="155"/>
      <c r="E82" s="452">
        <v>1</v>
      </c>
      <c r="F82" s="369">
        <v>80</v>
      </c>
      <c r="G82" s="362">
        <f t="shared" si="8"/>
        <v>80</v>
      </c>
      <c r="H82" s="453"/>
    </row>
    <row r="83" spans="1:8" s="17" customFormat="1" ht="13.5">
      <c r="A83" s="348"/>
      <c r="B83" s="349"/>
      <c r="C83" s="359" t="s">
        <v>52</v>
      </c>
      <c r="D83" s="155"/>
      <c r="E83" s="452">
        <v>1</v>
      </c>
      <c r="F83" s="369">
        <v>60</v>
      </c>
      <c r="G83" s="362">
        <f t="shared" si="8"/>
        <v>60</v>
      </c>
      <c r="H83" s="454"/>
    </row>
    <row r="84" spans="1:8" s="17" customFormat="1" ht="11.45" customHeight="1">
      <c r="A84" s="23"/>
      <c r="B84" s="24"/>
      <c r="C84" s="30"/>
      <c r="D84" s="32"/>
      <c r="E84" s="26"/>
      <c r="F84" s="27" t="s">
        <v>53</v>
      </c>
      <c r="G84" s="28">
        <f>SUM(G79:G83)</f>
        <v>668</v>
      </c>
      <c r="H84" s="29"/>
    </row>
    <row r="85" spans="1:8" s="17" customFormat="1" ht="11.45" customHeight="1">
      <c r="A85" s="23"/>
      <c r="B85" s="24"/>
      <c r="C85" s="275"/>
      <c r="D85" s="264"/>
      <c r="E85" s="276"/>
      <c r="F85" s="27" t="s">
        <v>16</v>
      </c>
      <c r="G85" s="277">
        <v>1.55</v>
      </c>
      <c r="H85" s="320"/>
    </row>
    <row r="86" spans="1:8" s="17" customFormat="1" ht="11.45" customHeight="1">
      <c r="A86" s="23"/>
      <c r="B86" s="33"/>
      <c r="C86" s="455"/>
      <c r="D86" s="456"/>
      <c r="E86" s="457"/>
      <c r="F86" s="27" t="s">
        <v>17</v>
      </c>
      <c r="G86" s="458">
        <f>G84*G85</f>
        <v>1035.4000000000001</v>
      </c>
      <c r="H86" s="459"/>
    </row>
    <row r="87" spans="1:8" s="17" customFormat="1" ht="13.5">
      <c r="A87" s="442" t="s">
        <v>54</v>
      </c>
      <c r="B87" s="443"/>
      <c r="C87" s="444"/>
      <c r="D87" s="445"/>
      <c r="E87" s="445"/>
      <c r="F87" s="446"/>
      <c r="G87" s="446"/>
      <c r="H87" s="460"/>
    </row>
    <row r="88" spans="1:8" s="17" customFormat="1" ht="13.15" customHeight="1">
      <c r="A88" s="348"/>
      <c r="B88" s="349"/>
      <c r="C88" s="350" t="s">
        <v>55</v>
      </c>
      <c r="D88" s="155"/>
      <c r="E88" s="352">
        <v>2</v>
      </c>
      <c r="F88" s="158">
        <v>100</v>
      </c>
      <c r="G88" s="362">
        <f>E88*F88</f>
        <v>200</v>
      </c>
      <c r="H88" s="453"/>
    </row>
    <row r="89" spans="1:8" s="17" customFormat="1" ht="13.15" customHeight="1">
      <c r="A89" s="348"/>
      <c r="B89" s="349"/>
      <c r="C89" s="350" t="s">
        <v>56</v>
      </c>
      <c r="D89" s="155"/>
      <c r="E89" s="352">
        <v>1</v>
      </c>
      <c r="F89" s="158">
        <v>140</v>
      </c>
      <c r="G89" s="362">
        <f t="shared" ref="G89" si="9">E89*F89</f>
        <v>140</v>
      </c>
      <c r="H89" s="453"/>
    </row>
    <row r="90" spans="1:8" s="17" customFormat="1" ht="11.45" customHeight="1">
      <c r="A90" s="23"/>
      <c r="B90" s="24"/>
      <c r="C90" s="30"/>
      <c r="D90" s="32"/>
      <c r="E90" s="26"/>
      <c r="F90" s="27" t="s">
        <v>53</v>
      </c>
      <c r="G90" s="28">
        <f>SUM(G88:G89)</f>
        <v>340</v>
      </c>
      <c r="H90" s="29"/>
    </row>
    <row r="91" spans="1:8" s="17" customFormat="1" ht="11.45" customHeight="1">
      <c r="A91" s="23"/>
      <c r="B91" s="24"/>
      <c r="C91" s="275"/>
      <c r="D91" s="264"/>
      <c r="E91" s="276"/>
      <c r="F91" s="27" t="s">
        <v>16</v>
      </c>
      <c r="G91" s="277">
        <v>1.55</v>
      </c>
      <c r="H91" s="320"/>
    </row>
    <row r="92" spans="1:8" s="17" customFormat="1" ht="11.45" customHeight="1">
      <c r="A92" s="23"/>
      <c r="B92" s="33"/>
      <c r="C92" s="455"/>
      <c r="D92" s="456"/>
      <c r="E92" s="457"/>
      <c r="F92" s="27" t="s">
        <v>17</v>
      </c>
      <c r="G92" s="458">
        <f>G90*G91</f>
        <v>527</v>
      </c>
      <c r="H92" s="459"/>
    </row>
    <row r="93" spans="1:8" s="17" customFormat="1" ht="11.25" customHeight="1">
      <c r="A93" s="442" t="s">
        <v>59</v>
      </c>
      <c r="B93" s="443"/>
      <c r="C93" s="444"/>
      <c r="D93" s="445"/>
      <c r="E93" s="445"/>
      <c r="F93" s="446"/>
      <c r="G93" s="446"/>
      <c r="H93" s="447"/>
    </row>
    <row r="94" spans="1:8" s="17" customFormat="1" ht="13.15" customHeight="1">
      <c r="A94" s="348"/>
      <c r="B94" s="349"/>
      <c r="C94" s="350" t="s">
        <v>60</v>
      </c>
      <c r="D94" s="155"/>
      <c r="E94" s="353">
        <v>1</v>
      </c>
      <c r="F94" s="158">
        <v>126</v>
      </c>
      <c r="G94" s="461">
        <f>E94*F94</f>
        <v>126</v>
      </c>
      <c r="H94" s="378" t="s">
        <v>111</v>
      </c>
    </row>
    <row r="95" spans="1:8" ht="13.5">
      <c r="A95" s="348"/>
      <c r="B95" s="349"/>
      <c r="C95" s="350" t="s">
        <v>61</v>
      </c>
      <c r="D95" s="155"/>
      <c r="E95" s="462">
        <v>1</v>
      </c>
      <c r="F95" s="462">
        <v>108</v>
      </c>
      <c r="G95" s="462">
        <f>F95*E95</f>
        <v>108</v>
      </c>
      <c r="H95" s="463" t="s">
        <v>112</v>
      </c>
    </row>
    <row r="96" spans="1:8" ht="11.45" customHeight="1">
      <c r="A96" s="23"/>
      <c r="B96" s="24"/>
      <c r="C96" s="34"/>
      <c r="D96" s="32"/>
      <c r="E96" s="26"/>
      <c r="F96" s="27" t="s">
        <v>53</v>
      </c>
      <c r="G96" s="28">
        <f>SUM(G94:G95)</f>
        <v>234</v>
      </c>
      <c r="H96" s="35"/>
    </row>
    <row r="97" spans="1:8" ht="11.45" customHeight="1">
      <c r="A97" s="273"/>
      <c r="B97" s="335"/>
      <c r="C97" s="275"/>
      <c r="D97" s="264"/>
      <c r="E97" s="276"/>
      <c r="F97" s="27" t="s">
        <v>16</v>
      </c>
      <c r="G97" s="277">
        <v>1.55</v>
      </c>
      <c r="H97" s="278"/>
    </row>
    <row r="98" spans="1:8" ht="11.45" customHeight="1" thickBot="1">
      <c r="A98" s="167"/>
      <c r="B98" s="168"/>
      <c r="C98" s="169"/>
      <c r="D98" s="464"/>
      <c r="E98" s="170"/>
      <c r="F98" s="171" t="s">
        <v>17</v>
      </c>
      <c r="G98" s="172">
        <f>G96*G97</f>
        <v>362.7</v>
      </c>
      <c r="H98" s="465"/>
    </row>
  </sheetData>
  <mergeCells count="1">
    <mergeCell ref="A1:H1"/>
  </mergeCells>
  <printOptions horizontalCentered="1"/>
  <pageMargins left="0.5" right="0.5" top="1.5" bottom="1.5" header="1.5" footer="1.5"/>
  <pageSetup scale="81" fitToHeight="0" orientation="portrait" r:id="rId1"/>
  <rowBreaks count="1" manualBreakCount="1">
    <brk id="63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8DE4-1371-4C51-BF1E-A569049701D9}">
  <sheetPr>
    <tabColor theme="4" tint="0.39997558519241921"/>
    <pageSetUpPr fitToPage="1"/>
  </sheetPr>
  <dimension ref="A1:P92"/>
  <sheetViews>
    <sheetView zoomScale="170" zoomScaleNormal="170" zoomScaleSheetLayoutView="180" workbookViewId="0">
      <selection activeCell="J13" sqref="J13"/>
    </sheetView>
  </sheetViews>
  <sheetFormatPr defaultColWidth="9.140625" defaultRowHeight="11.25"/>
  <cols>
    <col min="1" max="1" width="6.5703125" style="43" customWidth="1"/>
    <col min="2" max="2" width="7.5703125" style="43" customWidth="1"/>
    <col min="3" max="3" width="32.5703125" style="43" customWidth="1"/>
    <col min="4" max="4" width="9.5703125" style="90" customWidth="1"/>
    <col min="5" max="5" width="8.5703125" style="43" customWidth="1"/>
    <col min="6" max="7" width="8.5703125" style="90" customWidth="1"/>
    <col min="8" max="8" width="38.5703125" style="92" customWidth="1"/>
    <col min="9" max="16384" width="9.140625" style="43"/>
  </cols>
  <sheetData>
    <row r="1" spans="1:13" ht="30" customHeight="1" thickBot="1">
      <c r="A1" s="188"/>
      <c r="B1" s="189"/>
      <c r="C1" s="189"/>
      <c r="D1" s="189"/>
      <c r="E1" s="189"/>
      <c r="F1" s="189"/>
      <c r="G1" s="189"/>
      <c r="H1" s="190"/>
    </row>
    <row r="2" spans="1:13" ht="18" customHeight="1">
      <c r="A2" s="44" t="s">
        <v>113</v>
      </c>
      <c r="B2" s="45"/>
      <c r="C2" s="46"/>
      <c r="D2" s="46"/>
      <c r="E2" s="46"/>
      <c r="F2" s="47"/>
      <c r="G2" s="47"/>
      <c r="H2" s="48"/>
    </row>
    <row r="3" spans="1:13" s="49" customFormat="1" ht="18.75" customHeight="1">
      <c r="A3" s="466"/>
      <c r="B3" s="467"/>
      <c r="C3" s="467"/>
      <c r="D3" s="467"/>
      <c r="E3" s="467"/>
      <c r="F3" s="467"/>
      <c r="G3" s="467"/>
      <c r="H3" s="468"/>
    </row>
    <row r="4" spans="1:13" ht="11.25" customHeight="1">
      <c r="A4" s="50"/>
      <c r="B4" s="51"/>
      <c r="C4" s="52" t="s">
        <v>1</v>
      </c>
      <c r="D4" s="53">
        <f>SUM(G15,G40,G50,G57,G70)</f>
        <v>3934</v>
      </c>
      <c r="E4" s="54"/>
      <c r="F4" s="54"/>
      <c r="G4" s="54"/>
      <c r="H4" s="191"/>
    </row>
    <row r="5" spans="1:13" ht="11.25" customHeight="1">
      <c r="A5" s="469"/>
      <c r="B5" s="470"/>
      <c r="C5" s="52" t="s">
        <v>2</v>
      </c>
      <c r="D5" s="55">
        <v>1.5</v>
      </c>
      <c r="E5" s="56"/>
      <c r="F5" s="56"/>
      <c r="G5" s="54"/>
      <c r="H5" s="191"/>
    </row>
    <row r="6" spans="1:13" ht="18" customHeight="1">
      <c r="A6" s="471"/>
      <c r="B6" s="472"/>
      <c r="C6" s="52" t="s">
        <v>3</v>
      </c>
      <c r="D6" s="53">
        <f>D4*D5</f>
        <v>5901</v>
      </c>
      <c r="E6" s="56"/>
      <c r="F6" s="56"/>
      <c r="G6" s="54"/>
      <c r="H6" s="191"/>
    </row>
    <row r="7" spans="1:13" ht="11.25" customHeight="1">
      <c r="A7" s="473"/>
      <c r="B7" s="474"/>
      <c r="C7" s="475"/>
      <c r="D7" s="57"/>
      <c r="E7" s="58"/>
      <c r="F7" s="59"/>
      <c r="G7" s="57"/>
      <c r="H7" s="192"/>
    </row>
    <row r="8" spans="1:13" ht="12" customHeight="1">
      <c r="A8" s="476"/>
      <c r="B8" s="60"/>
      <c r="C8" s="477"/>
      <c r="D8" s="478"/>
      <c r="E8" s="478" t="s">
        <v>4</v>
      </c>
      <c r="F8" s="478" t="s">
        <v>5</v>
      </c>
      <c r="G8" s="478" t="s">
        <v>6</v>
      </c>
      <c r="H8" s="479" t="s">
        <v>114</v>
      </c>
    </row>
    <row r="9" spans="1:13" s="38" customFormat="1" ht="10.7" customHeight="1">
      <c r="A9" s="480" t="s">
        <v>115</v>
      </c>
      <c r="B9" s="480"/>
      <c r="C9" s="146"/>
      <c r="D9" s="147"/>
      <c r="E9" s="148"/>
      <c r="F9" s="147"/>
      <c r="G9" s="147"/>
      <c r="H9" s="481"/>
    </row>
    <row r="10" spans="1:13" s="38" customFormat="1" ht="13.5">
      <c r="A10" s="482"/>
      <c r="B10" s="483"/>
      <c r="C10" s="407" t="s">
        <v>9</v>
      </c>
      <c r="D10" s="484"/>
      <c r="E10" s="485"/>
      <c r="F10" s="486"/>
      <c r="G10" s="487"/>
      <c r="H10" s="488"/>
    </row>
    <row r="11" spans="1:13" s="38" customFormat="1" ht="13.5">
      <c r="A11" s="482"/>
      <c r="B11" s="483"/>
      <c r="C11" s="407" t="s">
        <v>10</v>
      </c>
      <c r="D11" s="484"/>
      <c r="E11" s="489">
        <v>4</v>
      </c>
      <c r="F11" s="489">
        <v>20</v>
      </c>
      <c r="G11" s="489">
        <f>F11*E11</f>
        <v>80</v>
      </c>
      <c r="H11" s="488"/>
    </row>
    <row r="12" spans="1:13" s="38" customFormat="1" ht="13.5">
      <c r="A12" s="490"/>
      <c r="B12" s="491"/>
      <c r="C12" s="407" t="s">
        <v>12</v>
      </c>
      <c r="D12" s="484"/>
      <c r="E12" s="489">
        <v>0</v>
      </c>
      <c r="F12" s="489">
        <v>60</v>
      </c>
      <c r="G12" s="489">
        <f>F12*E12</f>
        <v>0</v>
      </c>
      <c r="H12" s="488"/>
    </row>
    <row r="13" spans="1:13" s="38" customFormat="1" ht="13.5">
      <c r="A13" s="490"/>
      <c r="B13" s="491"/>
      <c r="C13" s="492" t="s">
        <v>76</v>
      </c>
      <c r="D13" s="484"/>
      <c r="E13" s="489">
        <v>3</v>
      </c>
      <c r="F13" s="489">
        <v>40</v>
      </c>
      <c r="G13" s="489">
        <f>F13*E13</f>
        <v>120</v>
      </c>
      <c r="H13" s="488"/>
    </row>
    <row r="14" spans="1:13" s="38" customFormat="1" ht="13.5">
      <c r="A14" s="490"/>
      <c r="B14" s="491"/>
      <c r="C14" s="407" t="s">
        <v>95</v>
      </c>
      <c r="D14" s="484"/>
      <c r="E14" s="489">
        <v>0</v>
      </c>
      <c r="F14" s="489">
        <v>100</v>
      </c>
      <c r="G14" s="489">
        <f>F14*E14</f>
        <v>0</v>
      </c>
      <c r="H14" s="488"/>
    </row>
    <row r="15" spans="1:13" s="69" customFormat="1" ht="11.45" customHeight="1">
      <c r="A15" s="61"/>
      <c r="B15" s="62"/>
      <c r="C15" s="63"/>
      <c r="D15" s="64"/>
      <c r="E15" s="65"/>
      <c r="F15" s="66" t="s">
        <v>15</v>
      </c>
      <c r="G15" s="67">
        <f>SUM(G12:G13,G11)</f>
        <v>200</v>
      </c>
      <c r="H15" s="68"/>
      <c r="M15" s="38"/>
    </row>
    <row r="16" spans="1:13" s="69" customFormat="1" ht="11.45" customHeight="1">
      <c r="A16" s="493"/>
      <c r="B16" s="494"/>
      <c r="C16" s="495"/>
      <c r="D16" s="496"/>
      <c r="E16" s="497"/>
      <c r="F16" s="498" t="s">
        <v>16</v>
      </c>
      <c r="G16" s="499">
        <v>1.5</v>
      </c>
      <c r="H16" s="500"/>
      <c r="M16" s="38"/>
    </row>
    <row r="17" spans="1:13" s="69" customFormat="1" ht="11.45" customHeight="1">
      <c r="A17" s="501"/>
      <c r="B17" s="502"/>
      <c r="C17" s="503"/>
      <c r="D17" s="504"/>
      <c r="E17" s="505"/>
      <c r="F17" s="506" t="s">
        <v>17</v>
      </c>
      <c r="G17" s="67">
        <f>G15*G16</f>
        <v>300</v>
      </c>
      <c r="H17" s="507"/>
      <c r="M17" s="38"/>
    </row>
    <row r="18" spans="1:13" s="38" customFormat="1" ht="11.45" customHeight="1">
      <c r="A18" s="508" t="s">
        <v>18</v>
      </c>
      <c r="B18" s="509"/>
      <c r="C18" s="510"/>
      <c r="D18" s="511"/>
      <c r="E18" s="512"/>
      <c r="F18" s="511"/>
      <c r="G18" s="511"/>
      <c r="H18" s="513"/>
    </row>
    <row r="19" spans="1:13" s="38" customFormat="1" ht="13.5">
      <c r="A19" s="482"/>
      <c r="B19" s="406"/>
      <c r="C19" s="407" t="s">
        <v>116</v>
      </c>
      <c r="D19" s="484"/>
      <c r="E19" s="489">
        <v>2</v>
      </c>
      <c r="F19" s="489">
        <v>60</v>
      </c>
      <c r="G19" s="409">
        <f>F19*E19</f>
        <v>120</v>
      </c>
      <c r="H19" s="488"/>
    </row>
    <row r="20" spans="1:13" s="38" customFormat="1" ht="13.5">
      <c r="A20" s="482"/>
      <c r="B20" s="406"/>
      <c r="C20" s="407" t="s">
        <v>117</v>
      </c>
      <c r="D20" s="484"/>
      <c r="E20" s="514">
        <v>3</v>
      </c>
      <c r="F20" s="514">
        <v>60</v>
      </c>
      <c r="G20" s="409">
        <f>F20*E20</f>
        <v>180</v>
      </c>
      <c r="H20" s="488"/>
    </row>
    <row r="21" spans="1:13" s="38" customFormat="1" ht="13.5">
      <c r="A21" s="482"/>
      <c r="B21" s="406"/>
      <c r="C21" s="407" t="s">
        <v>118</v>
      </c>
      <c r="D21" s="484"/>
      <c r="E21" s="489">
        <v>1</v>
      </c>
      <c r="F21" s="489">
        <v>140</v>
      </c>
      <c r="G21" s="409">
        <f>F21*E21</f>
        <v>140</v>
      </c>
      <c r="H21" s="488"/>
    </row>
    <row r="22" spans="1:13" s="38" customFormat="1" ht="13.5">
      <c r="A22" s="482"/>
      <c r="B22" s="406"/>
      <c r="C22" s="407" t="s">
        <v>119</v>
      </c>
      <c r="D22" s="484"/>
      <c r="E22" s="489">
        <v>1</v>
      </c>
      <c r="F22" s="489">
        <v>400</v>
      </c>
      <c r="G22" s="489">
        <f t="shared" ref="G22:G39" si="0">E22*F22</f>
        <v>400</v>
      </c>
      <c r="H22" s="488"/>
    </row>
    <row r="23" spans="1:13" s="38" customFormat="1" ht="13.5">
      <c r="A23" s="482"/>
      <c r="B23" s="406"/>
      <c r="C23" s="407" t="s">
        <v>120</v>
      </c>
      <c r="D23" s="484"/>
      <c r="E23" s="489">
        <v>1</v>
      </c>
      <c r="F23" s="489">
        <v>40</v>
      </c>
      <c r="G23" s="489">
        <f t="shared" si="0"/>
        <v>40</v>
      </c>
      <c r="H23" s="488"/>
    </row>
    <row r="24" spans="1:13" s="38" customFormat="1" ht="13.5">
      <c r="A24" s="482"/>
      <c r="B24" s="406"/>
      <c r="C24" s="407" t="s">
        <v>121</v>
      </c>
      <c r="D24" s="484"/>
      <c r="E24" s="489">
        <v>4</v>
      </c>
      <c r="F24" s="489">
        <v>50</v>
      </c>
      <c r="G24" s="409">
        <f t="shared" si="0"/>
        <v>200</v>
      </c>
      <c r="H24" s="488"/>
    </row>
    <row r="25" spans="1:13" s="38" customFormat="1" ht="13.5">
      <c r="A25" s="482"/>
      <c r="B25" s="406"/>
      <c r="C25" s="407" t="s">
        <v>122</v>
      </c>
      <c r="D25" s="484"/>
      <c r="E25" s="489">
        <v>1</v>
      </c>
      <c r="F25" s="489">
        <v>450</v>
      </c>
      <c r="G25" s="409">
        <f t="shared" si="0"/>
        <v>450</v>
      </c>
      <c r="H25" s="488"/>
    </row>
    <row r="26" spans="1:13" s="38" customFormat="1" ht="13.5">
      <c r="A26" s="482"/>
      <c r="B26" s="406"/>
      <c r="C26" s="407" t="s">
        <v>123</v>
      </c>
      <c r="D26" s="484"/>
      <c r="E26" s="489">
        <v>1</v>
      </c>
      <c r="F26" s="489">
        <v>120</v>
      </c>
      <c r="G26" s="489">
        <f t="shared" si="0"/>
        <v>120</v>
      </c>
      <c r="H26" s="488"/>
    </row>
    <row r="27" spans="1:13" s="38" customFormat="1" ht="13.5">
      <c r="A27" s="482"/>
      <c r="B27" s="406"/>
      <c r="C27" s="407" t="s">
        <v>124</v>
      </c>
      <c r="D27" s="484"/>
      <c r="E27" s="489">
        <v>1</v>
      </c>
      <c r="F27" s="489">
        <v>120</v>
      </c>
      <c r="G27" s="489">
        <f t="shared" si="0"/>
        <v>120</v>
      </c>
      <c r="H27" s="488"/>
    </row>
    <row r="28" spans="1:13" s="38" customFormat="1" ht="13.5">
      <c r="A28" s="482"/>
      <c r="B28" s="406"/>
      <c r="C28" s="407" t="s">
        <v>125</v>
      </c>
      <c r="D28" s="484"/>
      <c r="E28" s="489">
        <v>1</v>
      </c>
      <c r="F28" s="489">
        <v>600</v>
      </c>
      <c r="G28" s="409">
        <f t="shared" si="0"/>
        <v>600</v>
      </c>
      <c r="H28" s="488"/>
    </row>
    <row r="29" spans="1:13" s="38" customFormat="1" ht="13.5">
      <c r="A29" s="482"/>
      <c r="B29" s="406"/>
      <c r="C29" s="407" t="s">
        <v>126</v>
      </c>
      <c r="D29" s="484"/>
      <c r="E29" s="489">
        <v>1</v>
      </c>
      <c r="F29" s="489">
        <v>120</v>
      </c>
      <c r="G29" s="409">
        <f t="shared" si="0"/>
        <v>120</v>
      </c>
      <c r="H29" s="488"/>
    </row>
    <row r="30" spans="1:13" s="38" customFormat="1" ht="13.5">
      <c r="A30" s="482"/>
      <c r="B30" s="406"/>
      <c r="C30" s="407" t="s">
        <v>127</v>
      </c>
      <c r="D30" s="484"/>
      <c r="E30" s="489">
        <v>1</v>
      </c>
      <c r="F30" s="489">
        <v>60</v>
      </c>
      <c r="G30" s="409">
        <f t="shared" si="0"/>
        <v>60</v>
      </c>
      <c r="H30" s="488"/>
    </row>
    <row r="31" spans="1:13" s="38" customFormat="1" ht="13.5">
      <c r="A31" s="482"/>
      <c r="B31" s="406"/>
      <c r="C31" s="407" t="s">
        <v>128</v>
      </c>
      <c r="D31" s="484"/>
      <c r="E31" s="489">
        <v>1</v>
      </c>
      <c r="F31" s="489">
        <v>60</v>
      </c>
      <c r="G31" s="409">
        <f t="shared" si="0"/>
        <v>60</v>
      </c>
      <c r="H31" s="488"/>
    </row>
    <row r="32" spans="1:13" s="38" customFormat="1" ht="13.5">
      <c r="A32" s="482"/>
      <c r="B32" s="406"/>
      <c r="C32" s="407" t="s">
        <v>129</v>
      </c>
      <c r="D32" s="484"/>
      <c r="E32" s="489">
        <v>1</v>
      </c>
      <c r="F32" s="489">
        <v>160</v>
      </c>
      <c r="G32" s="489">
        <f t="shared" si="0"/>
        <v>160</v>
      </c>
      <c r="H32" s="488"/>
    </row>
    <row r="33" spans="1:9" s="38" customFormat="1" ht="13.5">
      <c r="A33" s="482"/>
      <c r="B33" s="406"/>
      <c r="C33" s="407" t="s">
        <v>130</v>
      </c>
      <c r="D33" s="484"/>
      <c r="E33" s="489">
        <v>1</v>
      </c>
      <c r="F33" s="489">
        <v>100</v>
      </c>
      <c r="G33" s="489">
        <f t="shared" si="0"/>
        <v>100</v>
      </c>
      <c r="H33" s="488"/>
    </row>
    <row r="34" spans="1:9" s="38" customFormat="1" ht="13.5">
      <c r="A34" s="482"/>
      <c r="B34" s="406"/>
      <c r="C34" s="407" t="s">
        <v>131</v>
      </c>
      <c r="D34" s="484"/>
      <c r="E34" s="489">
        <v>1</v>
      </c>
      <c r="F34" s="489">
        <v>140</v>
      </c>
      <c r="G34" s="489">
        <f t="shared" si="0"/>
        <v>140</v>
      </c>
      <c r="H34" s="488"/>
    </row>
    <row r="35" spans="1:9" s="38" customFormat="1" ht="13.5">
      <c r="A35" s="482"/>
      <c r="B35" s="406"/>
      <c r="C35" s="407" t="s">
        <v>132</v>
      </c>
      <c r="D35" s="484"/>
      <c r="E35" s="514">
        <v>1</v>
      </c>
      <c r="F35" s="514">
        <v>180</v>
      </c>
      <c r="G35" s="515">
        <f t="shared" si="0"/>
        <v>180</v>
      </c>
      <c r="H35" s="488"/>
    </row>
    <row r="36" spans="1:9" s="38" customFormat="1" ht="13.5">
      <c r="A36" s="482"/>
      <c r="B36" s="406"/>
      <c r="C36" s="407" t="s">
        <v>65</v>
      </c>
      <c r="D36" s="484"/>
      <c r="E36" s="514">
        <v>1</v>
      </c>
      <c r="F36" s="514">
        <v>30</v>
      </c>
      <c r="G36" s="515">
        <f t="shared" si="0"/>
        <v>30</v>
      </c>
      <c r="H36" s="488"/>
    </row>
    <row r="37" spans="1:9" s="38" customFormat="1" ht="13.5">
      <c r="A37" s="482"/>
      <c r="B37" s="406"/>
      <c r="C37" s="407" t="s">
        <v>133</v>
      </c>
      <c r="D37" s="484"/>
      <c r="E37" s="514">
        <v>1</v>
      </c>
      <c r="F37" s="514">
        <v>30</v>
      </c>
      <c r="G37" s="515">
        <f t="shared" si="0"/>
        <v>30</v>
      </c>
      <c r="H37" s="488"/>
    </row>
    <row r="38" spans="1:9" s="38" customFormat="1" ht="13.5">
      <c r="A38" s="482"/>
      <c r="B38" s="406"/>
      <c r="C38" s="407" t="s">
        <v>104</v>
      </c>
      <c r="D38" s="484"/>
      <c r="E38" s="514">
        <v>1</v>
      </c>
      <c r="F38" s="514">
        <v>20</v>
      </c>
      <c r="G38" s="515">
        <f t="shared" si="0"/>
        <v>20</v>
      </c>
      <c r="H38" s="488"/>
    </row>
    <row r="39" spans="1:9" s="38" customFormat="1" ht="13.5">
      <c r="A39" s="482"/>
      <c r="B39" s="406"/>
      <c r="C39" s="407" t="s">
        <v>134</v>
      </c>
      <c r="D39" s="484"/>
      <c r="E39" s="514">
        <v>1</v>
      </c>
      <c r="F39" s="514">
        <v>10</v>
      </c>
      <c r="G39" s="515">
        <f t="shared" si="0"/>
        <v>10</v>
      </c>
      <c r="H39" s="488"/>
    </row>
    <row r="40" spans="1:9" s="69" customFormat="1" ht="11.45" customHeight="1">
      <c r="A40" s="61"/>
      <c r="B40" s="62"/>
      <c r="C40" s="63"/>
      <c r="D40" s="64"/>
      <c r="E40" s="70"/>
      <c r="F40" s="71" t="s">
        <v>53</v>
      </c>
      <c r="G40" s="67">
        <f>SUM(G19:G39)</f>
        <v>3280</v>
      </c>
      <c r="H40" s="72"/>
      <c r="I40" s="73"/>
    </row>
    <row r="41" spans="1:9" s="69" customFormat="1" ht="11.45" customHeight="1">
      <c r="A41" s="493"/>
      <c r="B41" s="494"/>
      <c r="C41" s="495"/>
      <c r="D41" s="516"/>
      <c r="E41" s="497"/>
      <c r="F41" s="517" t="s">
        <v>16</v>
      </c>
      <c r="G41" s="499">
        <v>1.5</v>
      </c>
      <c r="H41" s="500"/>
    </row>
    <row r="42" spans="1:9" s="69" customFormat="1" ht="11.45" customHeight="1">
      <c r="A42" s="518"/>
      <c r="B42" s="519"/>
      <c r="C42" s="520"/>
      <c r="D42" s="521"/>
      <c r="E42" s="522"/>
      <c r="F42" s="523" t="s">
        <v>17</v>
      </c>
      <c r="G42" s="67">
        <f>G40*G41</f>
        <v>4920</v>
      </c>
      <c r="H42" s="524"/>
    </row>
    <row r="43" spans="1:9" s="38" customFormat="1" ht="13.5">
      <c r="A43" s="508" t="s">
        <v>135</v>
      </c>
      <c r="B43" s="509"/>
      <c r="C43" s="510"/>
      <c r="D43" s="511"/>
      <c r="E43" s="512"/>
      <c r="F43" s="511"/>
      <c r="G43" s="511"/>
      <c r="H43" s="513"/>
    </row>
    <row r="44" spans="1:9" s="38" customFormat="1" ht="13.5">
      <c r="A44" s="405"/>
      <c r="B44" s="406"/>
      <c r="C44" s="407" t="s">
        <v>98</v>
      </c>
      <c r="D44" s="484"/>
      <c r="E44" s="514">
        <v>1</v>
      </c>
      <c r="F44" s="514">
        <v>60</v>
      </c>
      <c r="G44" s="514">
        <f t="shared" ref="G44:G49" si="1">F44*E44</f>
        <v>60</v>
      </c>
      <c r="H44" s="488"/>
    </row>
    <row r="45" spans="1:9" s="38" customFormat="1" ht="13.5">
      <c r="A45" s="405"/>
      <c r="B45" s="406"/>
      <c r="C45" s="407" t="s">
        <v>136</v>
      </c>
      <c r="D45" s="484"/>
      <c r="E45" s="489">
        <v>1</v>
      </c>
      <c r="F45" s="514">
        <v>80</v>
      </c>
      <c r="G45" s="514">
        <f t="shared" si="1"/>
        <v>80</v>
      </c>
      <c r="H45" s="488"/>
    </row>
    <row r="46" spans="1:9" s="38" customFormat="1" ht="13.5">
      <c r="A46" s="405"/>
      <c r="B46" s="406"/>
      <c r="C46" s="407" t="s">
        <v>137</v>
      </c>
      <c r="D46" s="484"/>
      <c r="E46" s="514">
        <v>0</v>
      </c>
      <c r="F46" s="514">
        <v>100</v>
      </c>
      <c r="G46" s="514">
        <f t="shared" si="1"/>
        <v>0</v>
      </c>
      <c r="H46" s="488"/>
    </row>
    <row r="47" spans="1:9" s="38" customFormat="1" ht="13.5">
      <c r="A47" s="405"/>
      <c r="B47" s="406"/>
      <c r="C47" s="407" t="s">
        <v>33</v>
      </c>
      <c r="D47" s="484"/>
      <c r="E47" s="514">
        <v>0</v>
      </c>
      <c r="F47" s="514">
        <v>60</v>
      </c>
      <c r="G47" s="514">
        <f t="shared" si="1"/>
        <v>0</v>
      </c>
      <c r="H47" s="488"/>
    </row>
    <row r="48" spans="1:9" s="38" customFormat="1" ht="13.5">
      <c r="A48" s="405"/>
      <c r="B48" s="406"/>
      <c r="C48" s="407" t="s">
        <v>138</v>
      </c>
      <c r="D48" s="484"/>
      <c r="E48" s="514">
        <v>1</v>
      </c>
      <c r="F48" s="514">
        <v>80</v>
      </c>
      <c r="G48" s="514">
        <f t="shared" si="1"/>
        <v>80</v>
      </c>
      <c r="H48" s="488"/>
    </row>
    <row r="49" spans="1:10" s="38" customFormat="1" ht="13.5">
      <c r="A49" s="405"/>
      <c r="B49" s="406"/>
      <c r="C49" s="407" t="s">
        <v>139</v>
      </c>
      <c r="D49" s="484"/>
      <c r="E49" s="514">
        <v>1</v>
      </c>
      <c r="F49" s="514">
        <v>60</v>
      </c>
      <c r="G49" s="514">
        <f t="shared" si="1"/>
        <v>60</v>
      </c>
      <c r="H49" s="488"/>
    </row>
    <row r="50" spans="1:10" s="69" customFormat="1" ht="11.45" customHeight="1">
      <c r="A50" s="61"/>
      <c r="B50" s="62"/>
      <c r="C50" s="63"/>
      <c r="D50" s="74"/>
      <c r="E50" s="65"/>
      <c r="F50" s="71" t="s">
        <v>15</v>
      </c>
      <c r="G50" s="67">
        <f>SUM(G45:G49)</f>
        <v>220</v>
      </c>
      <c r="H50" s="68"/>
    </row>
    <row r="51" spans="1:10" s="69" customFormat="1" ht="11.45" customHeight="1">
      <c r="A51" s="493"/>
      <c r="B51" s="494"/>
      <c r="C51" s="495"/>
      <c r="D51" s="516"/>
      <c r="E51" s="497"/>
      <c r="F51" s="517" t="s">
        <v>16</v>
      </c>
      <c r="G51" s="499">
        <v>1.55</v>
      </c>
      <c r="H51" s="500"/>
    </row>
    <row r="52" spans="1:10" s="69" customFormat="1" ht="11.45" customHeight="1">
      <c r="A52" s="525"/>
      <c r="B52" s="526"/>
      <c r="C52" s="527"/>
      <c r="D52" s="528"/>
      <c r="E52" s="529"/>
      <c r="F52" s="530" t="s">
        <v>17</v>
      </c>
      <c r="G52" s="531">
        <f>G50*G51</f>
        <v>341</v>
      </c>
      <c r="H52" s="532"/>
    </row>
    <row r="53" spans="1:10" s="38" customFormat="1" ht="13.5">
      <c r="A53" s="75" t="s">
        <v>48</v>
      </c>
      <c r="B53" s="509"/>
      <c r="C53" s="76"/>
      <c r="D53" s="77"/>
      <c r="E53" s="78"/>
      <c r="F53" s="77"/>
      <c r="G53" s="77"/>
      <c r="H53" s="79"/>
      <c r="J53" s="80"/>
    </row>
    <row r="54" spans="1:10" s="38" customFormat="1" ht="13.5">
      <c r="A54" s="405"/>
      <c r="B54" s="406"/>
      <c r="C54" s="407" t="s">
        <v>49</v>
      </c>
      <c r="D54" s="533"/>
      <c r="E54" s="514">
        <v>0</v>
      </c>
      <c r="F54" s="514">
        <v>200</v>
      </c>
      <c r="G54" s="514">
        <f>E54*F54</f>
        <v>0</v>
      </c>
      <c r="H54" s="488"/>
    </row>
    <row r="55" spans="1:10" s="38" customFormat="1" ht="13.5">
      <c r="A55" s="534"/>
      <c r="B55" s="535"/>
      <c r="C55" s="536" t="s">
        <v>50</v>
      </c>
      <c r="D55" s="537"/>
      <c r="E55" s="538">
        <v>0</v>
      </c>
      <c r="F55" s="539">
        <v>20</v>
      </c>
      <c r="G55" s="540">
        <f>E55*F55</f>
        <v>0</v>
      </c>
      <c r="H55" s="488"/>
    </row>
    <row r="56" spans="1:10" s="38" customFormat="1" ht="13.5">
      <c r="A56" s="405"/>
      <c r="B56" s="406"/>
      <c r="C56" s="407" t="s">
        <v>140</v>
      </c>
      <c r="D56" s="484"/>
      <c r="E56" s="514">
        <v>0</v>
      </c>
      <c r="F56" s="514">
        <v>60</v>
      </c>
      <c r="G56" s="514">
        <f>E56*F56</f>
        <v>0</v>
      </c>
      <c r="H56" s="488"/>
    </row>
    <row r="57" spans="1:10" s="69" customFormat="1" ht="11.45" customHeight="1">
      <c r="A57" s="61"/>
      <c r="B57" s="62"/>
      <c r="C57" s="63"/>
      <c r="D57" s="74"/>
      <c r="E57" s="65"/>
      <c r="F57" s="71" t="s">
        <v>15</v>
      </c>
      <c r="G57" s="67">
        <f>SUM(G54:G56)</f>
        <v>0</v>
      </c>
      <c r="H57" s="68"/>
    </row>
    <row r="58" spans="1:10" s="69" customFormat="1" ht="11.45" customHeight="1">
      <c r="A58" s="493"/>
      <c r="B58" s="494"/>
      <c r="C58" s="495"/>
      <c r="D58" s="516"/>
      <c r="E58" s="497"/>
      <c r="F58" s="517" t="s">
        <v>16</v>
      </c>
      <c r="G58" s="499">
        <v>1.5</v>
      </c>
      <c r="H58" s="500"/>
    </row>
    <row r="59" spans="1:10" s="69" customFormat="1" ht="11.45" customHeight="1">
      <c r="A59" s="525"/>
      <c r="B59" s="526"/>
      <c r="C59" s="527"/>
      <c r="D59" s="528"/>
      <c r="E59" s="529"/>
      <c r="F59" s="530" t="s">
        <v>17</v>
      </c>
      <c r="G59" s="531">
        <f>G57*G58</f>
        <v>0</v>
      </c>
      <c r="H59" s="532"/>
    </row>
    <row r="60" spans="1:10" s="38" customFormat="1" ht="13.5">
      <c r="A60" s="508" t="s">
        <v>54</v>
      </c>
      <c r="B60" s="509"/>
      <c r="C60" s="541"/>
      <c r="D60" s="542"/>
      <c r="E60" s="542"/>
      <c r="F60" s="543"/>
      <c r="G60" s="543"/>
      <c r="H60" s="544"/>
    </row>
    <row r="61" spans="1:10" s="38" customFormat="1" ht="13.15" customHeight="1">
      <c r="A61" s="534"/>
      <c r="B61" s="535"/>
      <c r="C61" s="492" t="s">
        <v>55</v>
      </c>
      <c r="D61" s="537"/>
      <c r="E61" s="538">
        <v>0</v>
      </c>
      <c r="F61" s="539">
        <v>100</v>
      </c>
      <c r="G61" s="540">
        <f>E61*F61</f>
        <v>0</v>
      </c>
      <c r="H61" s="545"/>
    </row>
    <row r="62" spans="1:10" s="38" customFormat="1" ht="13.15" customHeight="1">
      <c r="A62" s="534"/>
      <c r="B62" s="535"/>
      <c r="C62" s="492" t="s">
        <v>141</v>
      </c>
      <c r="D62" s="537"/>
      <c r="E62" s="538">
        <v>1</v>
      </c>
      <c r="F62" s="539">
        <v>120</v>
      </c>
      <c r="G62" s="540">
        <f t="shared" ref="G62" si="2">E62*F62</f>
        <v>120</v>
      </c>
      <c r="H62" s="545"/>
    </row>
    <row r="63" spans="1:10" s="38" customFormat="1" ht="11.45" customHeight="1">
      <c r="A63" s="81"/>
      <c r="B63" s="82"/>
      <c r="C63" s="83"/>
      <c r="D63" s="84"/>
      <c r="E63" s="85"/>
      <c r="F63" s="66" t="s">
        <v>53</v>
      </c>
      <c r="G63" s="86">
        <f>SUM(G61:G62)</f>
        <v>120</v>
      </c>
      <c r="H63" s="87"/>
    </row>
    <row r="64" spans="1:10" s="38" customFormat="1" ht="11.45" customHeight="1">
      <c r="A64" s="81"/>
      <c r="B64" s="82"/>
      <c r="C64" s="546"/>
      <c r="D64" s="547"/>
      <c r="E64" s="548"/>
      <c r="F64" s="66" t="s">
        <v>16</v>
      </c>
      <c r="G64" s="549">
        <v>1.5</v>
      </c>
      <c r="H64" s="550"/>
    </row>
    <row r="65" spans="1:12" s="38" customFormat="1" ht="11.45" customHeight="1">
      <c r="A65" s="81"/>
      <c r="B65" s="88"/>
      <c r="C65" s="551"/>
      <c r="D65" s="552"/>
      <c r="E65" s="553"/>
      <c r="F65" s="66" t="s">
        <v>17</v>
      </c>
      <c r="G65" s="554">
        <f>G63*G64</f>
        <v>180</v>
      </c>
      <c r="H65" s="555"/>
    </row>
    <row r="66" spans="1:12" s="38" customFormat="1" ht="13.5">
      <c r="A66" s="508" t="s">
        <v>59</v>
      </c>
      <c r="B66" s="509"/>
      <c r="C66" s="510"/>
      <c r="D66" s="511"/>
      <c r="E66" s="512"/>
      <c r="F66" s="511"/>
      <c r="G66" s="511"/>
      <c r="H66" s="513"/>
    </row>
    <row r="67" spans="1:12" s="38" customFormat="1" ht="13.5">
      <c r="A67" s="405"/>
      <c r="B67" s="406"/>
      <c r="C67" s="407" t="s">
        <v>142</v>
      </c>
      <c r="D67" s="484"/>
      <c r="E67" s="514">
        <v>0</v>
      </c>
      <c r="F67" s="514">
        <v>168</v>
      </c>
      <c r="G67" s="514">
        <f>F67*E67</f>
        <v>0</v>
      </c>
      <c r="H67" s="488"/>
    </row>
    <row r="68" spans="1:12" s="38" customFormat="1" ht="13.5">
      <c r="A68" s="405"/>
      <c r="B68" s="406"/>
      <c r="C68" s="407" t="s">
        <v>60</v>
      </c>
      <c r="D68" s="484"/>
      <c r="E68" s="514">
        <v>1</v>
      </c>
      <c r="F68" s="539">
        <v>126</v>
      </c>
      <c r="G68" s="514">
        <f>F68*E68</f>
        <v>126</v>
      </c>
      <c r="H68" s="488"/>
    </row>
    <row r="69" spans="1:12" s="38" customFormat="1" ht="13.5">
      <c r="A69" s="405"/>
      <c r="B69" s="406"/>
      <c r="C69" s="407" t="s">
        <v>61</v>
      </c>
      <c r="D69" s="484"/>
      <c r="E69" s="514">
        <v>1</v>
      </c>
      <c r="F69" s="514">
        <v>108</v>
      </c>
      <c r="G69" s="514">
        <f>F69*E69</f>
        <v>108</v>
      </c>
      <c r="H69" s="488"/>
    </row>
    <row r="70" spans="1:12" s="69" customFormat="1" ht="11.45" customHeight="1">
      <c r="A70" s="61"/>
      <c r="B70" s="62"/>
      <c r="C70" s="63"/>
      <c r="D70" s="74"/>
      <c r="E70" s="65"/>
      <c r="F70" s="89" t="s">
        <v>15</v>
      </c>
      <c r="G70" s="67">
        <f>SUM(G68:G69)</f>
        <v>234</v>
      </c>
      <c r="H70" s="68"/>
    </row>
    <row r="71" spans="1:12" s="69" customFormat="1" ht="11.45" customHeight="1">
      <c r="A71" s="493"/>
      <c r="B71" s="494"/>
      <c r="C71" s="495"/>
      <c r="D71" s="516"/>
      <c r="E71" s="497"/>
      <c r="F71" s="556" t="s">
        <v>16</v>
      </c>
      <c r="G71" s="499">
        <v>1.5</v>
      </c>
      <c r="H71" s="500"/>
    </row>
    <row r="72" spans="1:12" s="69" customFormat="1" ht="11.45" customHeight="1" thickBot="1">
      <c r="A72" s="557"/>
      <c r="B72" s="558"/>
      <c r="C72" s="559"/>
      <c r="D72" s="560"/>
      <c r="E72" s="561"/>
      <c r="F72" s="562" t="s">
        <v>17</v>
      </c>
      <c r="G72" s="563">
        <f>G70*G71</f>
        <v>351</v>
      </c>
      <c r="H72" s="564"/>
    </row>
    <row r="73" spans="1:12">
      <c r="E73" s="91"/>
      <c r="K73" s="38"/>
      <c r="L73" s="38"/>
    </row>
    <row r="74" spans="1:12">
      <c r="D74" s="43"/>
      <c r="F74" s="43"/>
      <c r="G74" s="43"/>
      <c r="H74" s="43"/>
      <c r="K74" s="38"/>
      <c r="L74" s="38"/>
    </row>
    <row r="75" spans="1:12">
      <c r="D75" s="43"/>
      <c r="F75" s="43"/>
      <c r="G75" s="43"/>
      <c r="H75" s="43"/>
      <c r="K75" s="38"/>
      <c r="L75" s="38"/>
    </row>
    <row r="76" spans="1:12">
      <c r="D76" s="43"/>
      <c r="F76" s="43"/>
      <c r="G76" s="43"/>
      <c r="H76" s="43"/>
      <c r="K76" s="38"/>
      <c r="L76" s="38"/>
    </row>
    <row r="77" spans="1:12">
      <c r="D77" s="43"/>
      <c r="F77" s="43"/>
      <c r="G77" s="43"/>
      <c r="H77" s="43"/>
      <c r="K77" s="38"/>
      <c r="L77" s="38"/>
    </row>
    <row r="78" spans="1:12">
      <c r="D78" s="43"/>
      <c r="F78" s="43"/>
      <c r="G78" s="43"/>
      <c r="H78" s="43"/>
      <c r="K78" s="38"/>
      <c r="L78" s="38"/>
    </row>
    <row r="79" spans="1:12">
      <c r="D79" s="43"/>
      <c r="F79" s="43"/>
      <c r="G79" s="43"/>
      <c r="H79" s="43"/>
    </row>
    <row r="80" spans="1:12">
      <c r="D80" s="43"/>
      <c r="F80" s="43"/>
      <c r="G80" s="43"/>
      <c r="H80" s="43"/>
    </row>
    <row r="81" spans="4:16">
      <c r="D81" s="43"/>
      <c r="F81" s="43"/>
      <c r="G81" s="43"/>
      <c r="H81" s="43"/>
    </row>
    <row r="82" spans="4:16">
      <c r="D82" s="43"/>
      <c r="F82" s="43"/>
      <c r="G82" s="43"/>
      <c r="H82" s="43"/>
    </row>
    <row r="83" spans="4:16">
      <c r="D83" s="43"/>
      <c r="F83" s="43"/>
      <c r="G83" s="43"/>
      <c r="H83" s="43"/>
    </row>
    <row r="84" spans="4:16">
      <c r="D84" s="43"/>
      <c r="F84" s="43"/>
      <c r="G84" s="43"/>
      <c r="H84" s="43"/>
      <c r="M84" s="93"/>
      <c r="N84" s="94"/>
      <c r="O84" s="94"/>
      <c r="P84" s="94"/>
    </row>
    <row r="85" spans="4:16">
      <c r="D85" s="43"/>
      <c r="F85" s="43"/>
      <c r="G85" s="43"/>
      <c r="H85" s="43"/>
      <c r="M85" s="93"/>
      <c r="N85" s="94"/>
      <c r="O85" s="94"/>
      <c r="P85" s="94"/>
    </row>
    <row r="86" spans="4:16">
      <c r="D86" s="43"/>
      <c r="F86" s="43"/>
      <c r="G86" s="43"/>
      <c r="H86" s="43"/>
    </row>
    <row r="87" spans="4:16">
      <c r="D87" s="43"/>
      <c r="F87" s="43"/>
      <c r="G87" s="43"/>
      <c r="H87" s="43"/>
    </row>
    <row r="88" spans="4:16">
      <c r="D88" s="43"/>
      <c r="F88" s="43"/>
      <c r="G88" s="43"/>
      <c r="H88" s="43"/>
    </row>
    <row r="89" spans="4:16">
      <c r="D89" s="43"/>
      <c r="F89" s="43"/>
      <c r="G89" s="43"/>
      <c r="H89" s="43"/>
    </row>
    <row r="90" spans="4:16">
      <c r="D90" s="43"/>
      <c r="F90" s="43"/>
      <c r="G90" s="43"/>
      <c r="H90" s="43"/>
    </row>
    <row r="91" spans="4:16">
      <c r="D91" s="43"/>
      <c r="F91" s="43"/>
      <c r="G91" s="43"/>
      <c r="H91" s="43"/>
    </row>
    <row r="92" spans="4:16">
      <c r="D92" s="43"/>
      <c r="F92" s="43"/>
      <c r="G92" s="43"/>
      <c r="H92" s="43"/>
    </row>
  </sheetData>
  <mergeCells count="2">
    <mergeCell ref="A1:H1"/>
    <mergeCell ref="H4:H7"/>
  </mergeCells>
  <pageMargins left="0.7" right="0.7" top="0.75" bottom="0.75" header="0.3" footer="0.3"/>
  <pageSetup scale="7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74BB-745C-4FED-803A-21E62E7AE591}">
  <sheetPr>
    <tabColor theme="4" tint="0.39997558519241921"/>
    <pageSetUpPr fitToPage="1"/>
  </sheetPr>
  <dimension ref="A1:P74"/>
  <sheetViews>
    <sheetView zoomScale="170" zoomScaleNormal="170" zoomScaleSheetLayoutView="200" workbookViewId="0">
      <selection sqref="A1:H1"/>
    </sheetView>
  </sheetViews>
  <sheetFormatPr defaultColWidth="9.140625" defaultRowHeight="11.25"/>
  <cols>
    <col min="1" max="1" width="6.5703125" style="43" customWidth="1"/>
    <col min="2" max="2" width="7.5703125" style="43" customWidth="1"/>
    <col min="3" max="3" width="32.5703125" style="43" customWidth="1"/>
    <col min="4" max="4" width="9.5703125" style="90" customWidth="1"/>
    <col min="5" max="5" width="8.5703125" style="43" customWidth="1"/>
    <col min="6" max="7" width="8.5703125" style="90" customWidth="1"/>
    <col min="8" max="8" width="38.5703125" style="92" customWidth="1"/>
    <col min="9" max="16384" width="9.140625" style="43"/>
  </cols>
  <sheetData>
    <row r="1" spans="1:13" ht="30" customHeight="1" thickBot="1">
      <c r="A1" s="188"/>
      <c r="B1" s="189"/>
      <c r="C1" s="189"/>
      <c r="D1" s="189"/>
      <c r="E1" s="189"/>
      <c r="F1" s="189"/>
      <c r="G1" s="189"/>
      <c r="H1" s="190"/>
    </row>
    <row r="2" spans="1:13" ht="18" customHeight="1">
      <c r="A2" s="44" t="s">
        <v>143</v>
      </c>
      <c r="B2" s="45"/>
      <c r="C2" s="46"/>
      <c r="D2" s="46"/>
      <c r="E2" s="46"/>
      <c r="F2" s="47"/>
      <c r="G2" s="47"/>
      <c r="H2" s="48"/>
    </row>
    <row r="3" spans="1:13" s="49" customFormat="1" ht="18.75" customHeight="1">
      <c r="A3" s="466"/>
      <c r="B3" s="467"/>
      <c r="C3" s="467"/>
      <c r="D3" s="467"/>
      <c r="E3" s="467"/>
      <c r="F3" s="467"/>
      <c r="G3" s="467"/>
      <c r="H3" s="565"/>
    </row>
    <row r="4" spans="1:13" ht="11.25" customHeight="1">
      <c r="A4" s="50"/>
      <c r="B4" s="51"/>
      <c r="C4" s="52" t="s">
        <v>1</v>
      </c>
      <c r="D4" s="53">
        <f>SUM(G15,G23,G40,G47,G52)</f>
        <v>1533</v>
      </c>
      <c r="E4" s="54"/>
      <c r="F4" s="54"/>
      <c r="G4" s="54"/>
      <c r="H4" s="13" t="s">
        <v>144</v>
      </c>
    </row>
    <row r="5" spans="1:13" ht="11.25" customHeight="1">
      <c r="A5" s="469"/>
      <c r="B5" s="470"/>
      <c r="C5" s="52" t="s">
        <v>2</v>
      </c>
      <c r="D5" s="55">
        <v>1.5</v>
      </c>
      <c r="E5" s="56"/>
      <c r="F5" s="56"/>
      <c r="G5" s="54"/>
      <c r="H5" s="566"/>
    </row>
    <row r="6" spans="1:13" ht="18" customHeight="1">
      <c r="A6" s="471"/>
      <c r="B6" s="472"/>
      <c r="C6" s="52" t="s">
        <v>3</v>
      </c>
      <c r="D6" s="53">
        <f>D4*D5</f>
        <v>2299.5</v>
      </c>
      <c r="E6" s="56"/>
      <c r="F6" s="56"/>
      <c r="G6" s="54"/>
      <c r="H6" s="193"/>
    </row>
    <row r="7" spans="1:13" ht="11.25" customHeight="1">
      <c r="A7" s="473"/>
      <c r="B7" s="474"/>
      <c r="C7" s="475"/>
      <c r="D7" s="95"/>
      <c r="E7" s="96"/>
      <c r="F7" s="97"/>
      <c r="G7" s="95"/>
      <c r="H7" s="567"/>
    </row>
    <row r="8" spans="1:13" ht="12" customHeight="1">
      <c r="A8" s="476"/>
      <c r="B8" s="98"/>
      <c r="C8" s="477"/>
      <c r="D8" s="478"/>
      <c r="E8" s="478" t="s">
        <v>4</v>
      </c>
      <c r="F8" s="478" t="s">
        <v>5</v>
      </c>
      <c r="G8" s="478" t="s">
        <v>6</v>
      </c>
      <c r="H8" s="479" t="s">
        <v>114</v>
      </c>
    </row>
    <row r="9" spans="1:13" s="38" customFormat="1" ht="10.7" customHeight="1">
      <c r="A9" s="508" t="s">
        <v>115</v>
      </c>
      <c r="B9" s="508"/>
      <c r="C9" s="146"/>
      <c r="D9" s="147"/>
      <c r="E9" s="148"/>
      <c r="F9" s="147"/>
      <c r="G9" s="147"/>
      <c r="H9" s="481"/>
    </row>
    <row r="10" spans="1:13" s="38" customFormat="1" ht="13.5">
      <c r="A10" s="482"/>
      <c r="B10" s="483"/>
      <c r="C10" s="407" t="s">
        <v>9</v>
      </c>
      <c r="D10" s="484"/>
      <c r="E10" s="485"/>
      <c r="F10" s="486"/>
      <c r="G10" s="487"/>
      <c r="H10" s="488"/>
    </row>
    <row r="11" spans="1:13" s="38" customFormat="1" ht="13.5">
      <c r="A11" s="482"/>
      <c r="B11" s="483"/>
      <c r="C11" s="407" t="s">
        <v>10</v>
      </c>
      <c r="D11" s="484"/>
      <c r="E11" s="489">
        <v>4</v>
      </c>
      <c r="F11" s="489">
        <v>20</v>
      </c>
      <c r="G11" s="489">
        <f>F11*E11</f>
        <v>80</v>
      </c>
      <c r="H11" s="488"/>
    </row>
    <row r="12" spans="1:13" s="38" customFormat="1" ht="13.5">
      <c r="A12" s="490"/>
      <c r="B12" s="491"/>
      <c r="C12" s="407" t="s">
        <v>12</v>
      </c>
      <c r="D12" s="484"/>
      <c r="E12" s="489">
        <v>0</v>
      </c>
      <c r="F12" s="489">
        <v>60</v>
      </c>
      <c r="G12" s="489">
        <f>F12*E12</f>
        <v>0</v>
      </c>
      <c r="H12" s="488"/>
    </row>
    <row r="13" spans="1:13" s="38" customFormat="1" ht="13.5">
      <c r="A13" s="490"/>
      <c r="B13" s="491"/>
      <c r="C13" s="350" t="s">
        <v>76</v>
      </c>
      <c r="D13" s="484"/>
      <c r="E13" s="489">
        <v>1</v>
      </c>
      <c r="F13" s="489">
        <v>60</v>
      </c>
      <c r="G13" s="489">
        <f>F13*E13</f>
        <v>60</v>
      </c>
      <c r="H13" s="488"/>
    </row>
    <row r="14" spans="1:13" s="17" customFormat="1" ht="13.5">
      <c r="A14" s="568"/>
      <c r="B14" s="569"/>
      <c r="C14" s="407" t="s">
        <v>95</v>
      </c>
      <c r="D14" s="484"/>
      <c r="E14" s="489">
        <v>0</v>
      </c>
      <c r="F14" s="489">
        <v>100</v>
      </c>
      <c r="G14" s="489">
        <f>F14*E14</f>
        <v>0</v>
      </c>
      <c r="H14" s="488"/>
      <c r="M14" s="38"/>
    </row>
    <row r="15" spans="1:13" s="69" customFormat="1" ht="11.45" customHeight="1">
      <c r="A15" s="61"/>
      <c r="B15" s="62"/>
      <c r="C15" s="63"/>
      <c r="D15" s="64"/>
      <c r="E15" s="65"/>
      <c r="F15" s="66" t="s">
        <v>15</v>
      </c>
      <c r="G15" s="67">
        <f>SUM(G10:G14)</f>
        <v>140</v>
      </c>
      <c r="H15" s="68"/>
      <c r="M15" s="38"/>
    </row>
    <row r="16" spans="1:13" s="69" customFormat="1" ht="11.45" customHeight="1">
      <c r="A16" s="493"/>
      <c r="B16" s="494"/>
      <c r="C16" s="495"/>
      <c r="D16" s="496"/>
      <c r="E16" s="497"/>
      <c r="F16" s="498" t="s">
        <v>16</v>
      </c>
      <c r="G16" s="499">
        <v>1.5</v>
      </c>
      <c r="H16" s="500"/>
      <c r="M16" s="38"/>
    </row>
    <row r="17" spans="1:13" s="69" customFormat="1" ht="11.45" customHeight="1">
      <c r="A17" s="501"/>
      <c r="B17" s="502"/>
      <c r="C17" s="503"/>
      <c r="D17" s="504"/>
      <c r="E17" s="505"/>
      <c r="F17" s="506" t="s">
        <v>17</v>
      </c>
      <c r="G17" s="67">
        <f>G15*G16</f>
        <v>210</v>
      </c>
      <c r="H17" s="507"/>
      <c r="M17" s="38"/>
    </row>
    <row r="18" spans="1:13" s="38" customFormat="1" ht="11.45" customHeight="1">
      <c r="A18" s="508" t="s">
        <v>18</v>
      </c>
      <c r="B18" s="570"/>
      <c r="C18" s="510"/>
      <c r="D18" s="511"/>
      <c r="E18" s="512"/>
      <c r="F18" s="511"/>
      <c r="G18" s="511"/>
      <c r="H18" s="513"/>
    </row>
    <row r="19" spans="1:13" s="38" customFormat="1" ht="13.5">
      <c r="A19" s="482"/>
      <c r="B19" s="406"/>
      <c r="C19" s="407" t="s">
        <v>145</v>
      </c>
      <c r="D19" s="484"/>
      <c r="E19" s="514">
        <v>1</v>
      </c>
      <c r="F19" s="514">
        <v>120</v>
      </c>
      <c r="G19" s="515">
        <f t="shared" ref="G19:G22" si="0">E19*F19</f>
        <v>120</v>
      </c>
      <c r="H19" s="488"/>
    </row>
    <row r="20" spans="1:13" s="38" customFormat="1" ht="13.5">
      <c r="A20" s="482"/>
      <c r="B20" s="406"/>
      <c r="C20" s="407" t="s">
        <v>146</v>
      </c>
      <c r="D20" s="484"/>
      <c r="E20" s="514">
        <v>1</v>
      </c>
      <c r="F20" s="514">
        <v>60</v>
      </c>
      <c r="G20" s="515">
        <f t="shared" si="0"/>
        <v>60</v>
      </c>
      <c r="H20" s="488"/>
    </row>
    <row r="21" spans="1:13" s="80" customFormat="1" ht="13.5">
      <c r="A21" s="571"/>
      <c r="B21" s="572"/>
      <c r="C21" s="573" t="s">
        <v>147</v>
      </c>
      <c r="D21" s="574"/>
      <c r="E21" s="575">
        <v>2</v>
      </c>
      <c r="F21" s="489">
        <v>160</v>
      </c>
      <c r="G21" s="409">
        <f t="shared" si="0"/>
        <v>320</v>
      </c>
      <c r="H21" s="488"/>
    </row>
    <row r="22" spans="1:13" s="80" customFormat="1" ht="13.5">
      <c r="A22" s="571"/>
      <c r="B22" s="572"/>
      <c r="C22" s="573" t="s">
        <v>148</v>
      </c>
      <c r="D22" s="574"/>
      <c r="E22" s="489">
        <v>1</v>
      </c>
      <c r="F22" s="489">
        <v>225</v>
      </c>
      <c r="G22" s="409">
        <f t="shared" si="0"/>
        <v>225</v>
      </c>
      <c r="H22" s="488"/>
    </row>
    <row r="23" spans="1:13" s="69" customFormat="1" ht="11.45" customHeight="1">
      <c r="A23" s="61"/>
      <c r="B23" s="62"/>
      <c r="C23" s="63"/>
      <c r="D23" s="64"/>
      <c r="E23" s="70"/>
      <c r="F23" s="71" t="s">
        <v>53</v>
      </c>
      <c r="G23" s="67">
        <f>SUM(G19:G22)</f>
        <v>725</v>
      </c>
      <c r="H23" s="72"/>
      <c r="I23" s="73"/>
    </row>
    <row r="24" spans="1:13" s="69" customFormat="1" ht="11.45" customHeight="1">
      <c r="A24" s="493"/>
      <c r="B24" s="494"/>
      <c r="C24" s="495"/>
      <c r="D24" s="516"/>
      <c r="E24" s="497"/>
      <c r="F24" s="517" t="s">
        <v>16</v>
      </c>
      <c r="G24" s="499">
        <v>1.5</v>
      </c>
      <c r="H24" s="500"/>
    </row>
    <row r="25" spans="1:13" s="69" customFormat="1" ht="11.45" customHeight="1">
      <c r="A25" s="518"/>
      <c r="B25" s="519"/>
      <c r="C25" s="520"/>
      <c r="D25" s="521"/>
      <c r="E25" s="522"/>
      <c r="F25" s="523" t="s">
        <v>17</v>
      </c>
      <c r="G25" s="67">
        <f>G23*G24</f>
        <v>1087.5</v>
      </c>
      <c r="H25" s="524"/>
    </row>
    <row r="26" spans="1:13" s="38" customFormat="1" ht="13.5">
      <c r="A26" s="508" t="s">
        <v>135</v>
      </c>
      <c r="B26" s="570"/>
      <c r="C26" s="510"/>
      <c r="D26" s="511"/>
      <c r="E26" s="512"/>
      <c r="F26" s="511"/>
      <c r="G26" s="511"/>
      <c r="H26" s="513"/>
    </row>
    <row r="27" spans="1:13" s="38" customFormat="1" ht="13.5">
      <c r="A27" s="482"/>
      <c r="B27" s="406"/>
      <c r="C27" s="407" t="s">
        <v>98</v>
      </c>
      <c r="D27" s="484"/>
      <c r="E27" s="514">
        <v>0</v>
      </c>
      <c r="F27" s="514">
        <v>120</v>
      </c>
      <c r="G27" s="514">
        <f t="shared" ref="G27:G39" si="1">F27*E27</f>
        <v>0</v>
      </c>
      <c r="H27" s="488"/>
    </row>
    <row r="28" spans="1:13" s="80" customFormat="1" ht="13.5">
      <c r="A28" s="571"/>
      <c r="B28" s="572"/>
      <c r="C28" s="573" t="s">
        <v>149</v>
      </c>
      <c r="D28" s="574"/>
      <c r="E28" s="489">
        <v>8</v>
      </c>
      <c r="F28" s="489">
        <v>30</v>
      </c>
      <c r="G28" s="409">
        <f>E28*F28</f>
        <v>240</v>
      </c>
      <c r="H28" s="488"/>
    </row>
    <row r="29" spans="1:13" s="80" customFormat="1" ht="13.5">
      <c r="A29" s="571"/>
      <c r="B29" s="572"/>
      <c r="C29" s="573" t="s">
        <v>150</v>
      </c>
      <c r="D29" s="574"/>
      <c r="E29" s="489">
        <v>1</v>
      </c>
      <c r="F29" s="575">
        <v>160</v>
      </c>
      <c r="G29" s="409">
        <f>E29*F29</f>
        <v>160</v>
      </c>
      <c r="H29" s="576"/>
    </row>
    <row r="30" spans="1:13" s="38" customFormat="1" ht="13.5">
      <c r="A30" s="482"/>
      <c r="B30" s="406"/>
      <c r="C30" s="407" t="s">
        <v>151</v>
      </c>
      <c r="D30" s="484"/>
      <c r="E30" s="514">
        <v>1</v>
      </c>
      <c r="F30" s="514">
        <v>30</v>
      </c>
      <c r="G30" s="514">
        <f t="shared" si="1"/>
        <v>30</v>
      </c>
      <c r="H30" s="488"/>
    </row>
    <row r="31" spans="1:13" s="38" customFormat="1" ht="13.5">
      <c r="A31" s="482"/>
      <c r="B31" s="406"/>
      <c r="C31" s="407" t="s">
        <v>35</v>
      </c>
      <c r="D31" s="484"/>
      <c r="E31" s="514">
        <v>1</v>
      </c>
      <c r="F31" s="514">
        <v>30</v>
      </c>
      <c r="G31" s="514">
        <f t="shared" si="1"/>
        <v>30</v>
      </c>
      <c r="H31" s="488"/>
    </row>
    <row r="32" spans="1:13" s="38" customFormat="1" ht="13.5">
      <c r="A32" s="482"/>
      <c r="B32" s="406"/>
      <c r="C32" s="407" t="s">
        <v>152</v>
      </c>
      <c r="D32" s="484"/>
      <c r="E32" s="514">
        <v>1</v>
      </c>
      <c r="F32" s="514">
        <v>60</v>
      </c>
      <c r="G32" s="514">
        <f t="shared" si="1"/>
        <v>60</v>
      </c>
      <c r="H32" s="577"/>
    </row>
    <row r="33" spans="1:10" s="38" customFormat="1" ht="13.5">
      <c r="A33" s="482"/>
      <c r="B33" s="406"/>
      <c r="C33" s="407" t="s">
        <v>137</v>
      </c>
      <c r="D33" s="484"/>
      <c r="E33" s="514">
        <v>1</v>
      </c>
      <c r="F33" s="514">
        <v>120</v>
      </c>
      <c r="G33" s="514">
        <f t="shared" si="1"/>
        <v>120</v>
      </c>
      <c r="H33" s="578"/>
    </row>
    <row r="34" spans="1:10" s="38" customFormat="1" ht="13.5">
      <c r="A34" s="482"/>
      <c r="B34" s="406"/>
      <c r="C34" s="407" t="s">
        <v>33</v>
      </c>
      <c r="D34" s="484"/>
      <c r="E34" s="514">
        <v>0</v>
      </c>
      <c r="F34" s="514">
        <v>60</v>
      </c>
      <c r="G34" s="514">
        <f t="shared" si="1"/>
        <v>0</v>
      </c>
      <c r="H34" s="488"/>
    </row>
    <row r="35" spans="1:10" s="38" customFormat="1" ht="13.5">
      <c r="A35" s="482"/>
      <c r="B35" s="406"/>
      <c r="C35" s="407" t="s">
        <v>43</v>
      </c>
      <c r="D35" s="484"/>
      <c r="E35" s="514">
        <v>0</v>
      </c>
      <c r="F35" s="514">
        <v>30</v>
      </c>
      <c r="G35" s="515">
        <f t="shared" ref="G35:G38" si="2">E35*F35</f>
        <v>0</v>
      </c>
      <c r="H35" s="488"/>
    </row>
    <row r="36" spans="1:10" s="38" customFormat="1" ht="13.5">
      <c r="A36" s="482"/>
      <c r="B36" s="406"/>
      <c r="C36" s="407" t="s">
        <v>133</v>
      </c>
      <c r="D36" s="484"/>
      <c r="E36" s="514">
        <v>0</v>
      </c>
      <c r="F36" s="514">
        <v>24</v>
      </c>
      <c r="G36" s="515">
        <f t="shared" si="2"/>
        <v>0</v>
      </c>
      <c r="H36" s="488"/>
    </row>
    <row r="37" spans="1:10" s="38" customFormat="1" ht="13.5">
      <c r="A37" s="482"/>
      <c r="B37" s="406"/>
      <c r="C37" s="407" t="s">
        <v>104</v>
      </c>
      <c r="D37" s="484"/>
      <c r="E37" s="514">
        <v>0</v>
      </c>
      <c r="F37" s="514">
        <v>20</v>
      </c>
      <c r="G37" s="515">
        <f t="shared" si="2"/>
        <v>0</v>
      </c>
      <c r="H37" s="488"/>
    </row>
    <row r="38" spans="1:10" s="38" customFormat="1" ht="13.5">
      <c r="A38" s="482"/>
      <c r="B38" s="406"/>
      <c r="C38" s="407" t="s">
        <v>134</v>
      </c>
      <c r="D38" s="484"/>
      <c r="E38" s="514">
        <v>1</v>
      </c>
      <c r="F38" s="514">
        <v>10</v>
      </c>
      <c r="G38" s="515">
        <f t="shared" si="2"/>
        <v>10</v>
      </c>
      <c r="H38" s="488"/>
    </row>
    <row r="39" spans="1:10" s="38" customFormat="1" ht="13.5">
      <c r="A39" s="482"/>
      <c r="B39" s="406"/>
      <c r="C39" s="407" t="s">
        <v>139</v>
      </c>
      <c r="D39" s="484"/>
      <c r="E39" s="514">
        <v>0</v>
      </c>
      <c r="F39" s="514">
        <v>60</v>
      </c>
      <c r="G39" s="514">
        <f t="shared" si="1"/>
        <v>0</v>
      </c>
      <c r="H39" s="488"/>
    </row>
    <row r="40" spans="1:10" s="69" customFormat="1" ht="11.45" customHeight="1">
      <c r="A40" s="61"/>
      <c r="B40" s="62"/>
      <c r="C40" s="63"/>
      <c r="D40" s="74"/>
      <c r="E40" s="65"/>
      <c r="F40" s="71" t="s">
        <v>15</v>
      </c>
      <c r="G40" s="67">
        <f>SUM(G27:G39)</f>
        <v>650</v>
      </c>
      <c r="H40" s="68"/>
    </row>
    <row r="41" spans="1:10" s="69" customFormat="1" ht="11.45" customHeight="1">
      <c r="A41" s="493"/>
      <c r="B41" s="494"/>
      <c r="C41" s="495"/>
      <c r="D41" s="516"/>
      <c r="E41" s="497"/>
      <c r="F41" s="517" t="s">
        <v>16</v>
      </c>
      <c r="G41" s="499">
        <v>1.5</v>
      </c>
      <c r="H41" s="500"/>
    </row>
    <row r="42" spans="1:10" s="69" customFormat="1" ht="11.45" customHeight="1">
      <c r="A42" s="525"/>
      <c r="B42" s="526"/>
      <c r="C42" s="527"/>
      <c r="D42" s="528"/>
      <c r="E42" s="529"/>
      <c r="F42" s="530" t="s">
        <v>17</v>
      </c>
      <c r="G42" s="531">
        <f>G40*G41</f>
        <v>975</v>
      </c>
      <c r="H42" s="532"/>
    </row>
    <row r="43" spans="1:10" s="38" customFormat="1" ht="13.5">
      <c r="A43" s="75" t="s">
        <v>48</v>
      </c>
      <c r="B43" s="570"/>
      <c r="C43" s="76"/>
      <c r="D43" s="77"/>
      <c r="E43" s="78"/>
      <c r="F43" s="77"/>
      <c r="G43" s="77"/>
      <c r="H43" s="79"/>
      <c r="J43" s="80"/>
    </row>
    <row r="44" spans="1:10" s="38" customFormat="1" ht="13.5">
      <c r="A44" s="482"/>
      <c r="B44" s="406"/>
      <c r="C44" s="407" t="s">
        <v>49</v>
      </c>
      <c r="D44" s="533"/>
      <c r="E44" s="514">
        <v>0</v>
      </c>
      <c r="F44" s="514">
        <v>200</v>
      </c>
      <c r="G44" s="514">
        <f>E44*F44</f>
        <v>0</v>
      </c>
      <c r="H44" s="488"/>
    </row>
    <row r="45" spans="1:10" s="17" customFormat="1" ht="13.5">
      <c r="A45" s="482"/>
      <c r="B45" s="154"/>
      <c r="C45" s="160" t="s">
        <v>50</v>
      </c>
      <c r="D45" s="155"/>
      <c r="E45" s="159">
        <v>12</v>
      </c>
      <c r="F45" s="158">
        <v>1.5</v>
      </c>
      <c r="G45" s="579">
        <f>E45*F45</f>
        <v>18</v>
      </c>
      <c r="H45" s="450"/>
    </row>
    <row r="46" spans="1:10" s="38" customFormat="1" ht="13.5">
      <c r="A46" s="482"/>
      <c r="B46" s="406"/>
      <c r="C46" s="407" t="s">
        <v>140</v>
      </c>
      <c r="D46" s="484"/>
      <c r="E46" s="514">
        <v>0</v>
      </c>
      <c r="F46" s="514">
        <v>60</v>
      </c>
      <c r="G46" s="514">
        <f>E46*F46</f>
        <v>0</v>
      </c>
      <c r="H46" s="488"/>
    </row>
    <row r="47" spans="1:10" s="69" customFormat="1" ht="11.45" customHeight="1">
      <c r="A47" s="61"/>
      <c r="B47" s="62"/>
      <c r="C47" s="63"/>
      <c r="D47" s="74"/>
      <c r="E47" s="65"/>
      <c r="F47" s="71" t="s">
        <v>15</v>
      </c>
      <c r="G47" s="67">
        <f>SUM(G44:G46)</f>
        <v>18</v>
      </c>
      <c r="H47" s="68"/>
    </row>
    <row r="48" spans="1:10" s="69" customFormat="1" ht="11.45" customHeight="1">
      <c r="A48" s="493"/>
      <c r="B48" s="494"/>
      <c r="C48" s="495"/>
      <c r="D48" s="516"/>
      <c r="E48" s="497"/>
      <c r="F48" s="517" t="s">
        <v>16</v>
      </c>
      <c r="G48" s="499">
        <v>1.5</v>
      </c>
      <c r="H48" s="500"/>
    </row>
    <row r="49" spans="1:12" s="69" customFormat="1" ht="11.45" customHeight="1">
      <c r="A49" s="525"/>
      <c r="B49" s="526"/>
      <c r="C49" s="527"/>
      <c r="D49" s="528"/>
      <c r="E49" s="529"/>
      <c r="F49" s="530" t="s">
        <v>17</v>
      </c>
      <c r="G49" s="531">
        <f>G47*G48</f>
        <v>27</v>
      </c>
      <c r="H49" s="532"/>
    </row>
    <row r="50" spans="1:12" s="17" customFormat="1" ht="13.5">
      <c r="A50" s="442" t="s">
        <v>54</v>
      </c>
      <c r="B50" s="570"/>
      <c r="C50" s="444"/>
      <c r="D50" s="445"/>
      <c r="E50" s="445"/>
      <c r="F50" s="446"/>
      <c r="G50" s="446"/>
      <c r="H50" s="460"/>
    </row>
    <row r="51" spans="1:12" s="17" customFormat="1" ht="13.15" customHeight="1">
      <c r="A51" s="482"/>
      <c r="B51" s="154"/>
      <c r="C51" s="350" t="s">
        <v>55</v>
      </c>
      <c r="D51" s="155"/>
      <c r="E51" s="159">
        <v>0</v>
      </c>
      <c r="F51" s="158">
        <v>100</v>
      </c>
      <c r="G51" s="579">
        <f>E51*F51</f>
        <v>0</v>
      </c>
      <c r="H51" s="453"/>
    </row>
    <row r="52" spans="1:12" s="17" customFormat="1" ht="11.45" customHeight="1">
      <c r="A52" s="61"/>
      <c r="B52" s="24"/>
      <c r="C52" s="30"/>
      <c r="D52" s="32"/>
      <c r="E52" s="26"/>
      <c r="F52" s="27" t="s">
        <v>53</v>
      </c>
      <c r="G52" s="28">
        <f>SUM(G51:G51)</f>
        <v>0</v>
      </c>
      <c r="H52" s="29"/>
    </row>
    <row r="53" spans="1:12" s="17" customFormat="1" ht="11.45" customHeight="1">
      <c r="A53" s="493"/>
      <c r="B53" s="24"/>
      <c r="C53" s="275"/>
      <c r="D53" s="264"/>
      <c r="E53" s="276"/>
      <c r="F53" s="27" t="s">
        <v>16</v>
      </c>
      <c r="G53" s="277">
        <v>1.5</v>
      </c>
      <c r="H53" s="320"/>
    </row>
    <row r="54" spans="1:12" s="17" customFormat="1" ht="11.45" customHeight="1">
      <c r="A54" s="525"/>
      <c r="B54" s="456"/>
      <c r="C54" s="456"/>
      <c r="D54" s="456"/>
      <c r="E54" s="457"/>
      <c r="F54" s="27" t="s">
        <v>17</v>
      </c>
      <c r="G54" s="458">
        <f>G52*G53</f>
        <v>0</v>
      </c>
      <c r="H54" s="459"/>
    </row>
    <row r="55" spans="1:12">
      <c r="E55" s="91"/>
      <c r="K55" s="38"/>
      <c r="L55" s="38"/>
    </row>
    <row r="56" spans="1:12">
      <c r="D56" s="43"/>
      <c r="F56" s="43"/>
      <c r="G56" s="43"/>
      <c r="H56" s="43"/>
      <c r="K56" s="38"/>
      <c r="L56" s="38"/>
    </row>
    <row r="57" spans="1:12">
      <c r="D57" s="43"/>
      <c r="F57" s="43"/>
      <c r="G57" s="43"/>
      <c r="H57" s="43"/>
      <c r="K57" s="38"/>
      <c r="L57" s="38"/>
    </row>
    <row r="58" spans="1:12">
      <c r="D58" s="43"/>
      <c r="F58" s="43"/>
      <c r="G58" s="43"/>
      <c r="H58" s="43"/>
      <c r="K58" s="38"/>
      <c r="L58" s="38"/>
    </row>
    <row r="59" spans="1:12">
      <c r="D59" s="43"/>
      <c r="F59" s="43"/>
      <c r="G59" s="43"/>
      <c r="H59" s="43"/>
      <c r="K59" s="38"/>
      <c r="L59" s="38"/>
    </row>
    <row r="60" spans="1:12">
      <c r="D60" s="43"/>
      <c r="F60" s="43"/>
      <c r="G60" s="43"/>
      <c r="H60" s="43"/>
      <c r="K60" s="38"/>
      <c r="L60" s="38"/>
    </row>
    <row r="61" spans="1:12">
      <c r="D61" s="43"/>
      <c r="F61" s="43"/>
      <c r="G61" s="43"/>
      <c r="H61" s="43"/>
    </row>
    <row r="62" spans="1:12">
      <c r="D62" s="43"/>
      <c r="F62" s="43"/>
      <c r="G62" s="43"/>
      <c r="H62" s="43"/>
    </row>
    <row r="63" spans="1:12">
      <c r="D63" s="43"/>
      <c r="F63" s="43"/>
      <c r="G63" s="43"/>
      <c r="H63" s="43"/>
    </row>
    <row r="64" spans="1:12">
      <c r="D64" s="43"/>
      <c r="F64" s="43"/>
      <c r="G64" s="43"/>
      <c r="H64" s="43"/>
    </row>
    <row r="65" spans="4:16">
      <c r="D65" s="43"/>
      <c r="F65" s="43"/>
      <c r="G65" s="43"/>
      <c r="H65" s="43"/>
    </row>
    <row r="66" spans="4:16">
      <c r="D66" s="43"/>
      <c r="F66" s="43"/>
      <c r="G66" s="43"/>
      <c r="H66" s="43"/>
      <c r="M66" s="93"/>
      <c r="N66" s="94"/>
      <c r="O66" s="94"/>
      <c r="P66" s="94"/>
    </row>
    <row r="67" spans="4:16">
      <c r="D67" s="43"/>
      <c r="F67" s="43"/>
      <c r="G67" s="43"/>
      <c r="H67" s="43"/>
      <c r="M67" s="93"/>
      <c r="N67" s="94"/>
      <c r="O67" s="94"/>
      <c r="P67" s="94"/>
    </row>
    <row r="68" spans="4:16">
      <c r="D68" s="43"/>
      <c r="F68" s="43"/>
      <c r="G68" s="43"/>
      <c r="H68" s="43"/>
    </row>
    <row r="69" spans="4:16">
      <c r="D69" s="43"/>
      <c r="F69" s="43"/>
      <c r="G69" s="43"/>
      <c r="H69" s="43"/>
    </row>
    <row r="70" spans="4:16">
      <c r="D70" s="43"/>
      <c r="F70" s="43"/>
      <c r="G70" s="43"/>
      <c r="H70" s="43"/>
    </row>
    <row r="71" spans="4:16">
      <c r="D71" s="43"/>
      <c r="F71" s="43"/>
      <c r="G71" s="43"/>
      <c r="H71" s="43"/>
    </row>
    <row r="72" spans="4:16">
      <c r="D72" s="43"/>
      <c r="F72" s="43"/>
      <c r="G72" s="43"/>
      <c r="H72" s="43"/>
    </row>
    <row r="73" spans="4:16">
      <c r="D73" s="43"/>
      <c r="F73" s="43"/>
      <c r="G73" s="43"/>
      <c r="H73" s="43"/>
    </row>
    <row r="74" spans="4:16">
      <c r="D74" s="43"/>
      <c r="F74" s="43"/>
      <c r="G74" s="43"/>
      <c r="H74" s="43"/>
    </row>
  </sheetData>
  <mergeCells count="2">
    <mergeCell ref="A1:H1"/>
    <mergeCell ref="H5:H6"/>
  </mergeCells>
  <printOptions horizontalCentered="1"/>
  <pageMargins left="0.5" right="0.5" top="1.5" bottom="1.5" header="1.5" footer="1.5"/>
  <pageSetup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9008-76DC-4EC7-90E7-F24119B3ED07}">
  <sheetPr>
    <tabColor theme="4" tint="0.39997558519241921"/>
    <pageSetUpPr fitToPage="1"/>
  </sheetPr>
  <dimension ref="A1:EM94"/>
  <sheetViews>
    <sheetView zoomScale="170" zoomScaleNormal="170" zoomScaleSheetLayoutView="100" workbookViewId="0">
      <selection activeCell="I86" sqref="I86"/>
    </sheetView>
  </sheetViews>
  <sheetFormatPr defaultColWidth="9.140625" defaultRowHeight="12.75"/>
  <cols>
    <col min="1" max="1" width="6.42578125" style="106" customWidth="1"/>
    <col min="2" max="2" width="7.85546875" style="99" customWidth="1"/>
    <col min="3" max="3" width="32.5703125" style="99" customWidth="1"/>
    <col min="4" max="4" width="8.5703125" style="99" customWidth="1"/>
    <col min="5" max="5" width="10.7109375" style="99" customWidth="1"/>
    <col min="6" max="7" width="10.7109375" style="107" customWidth="1"/>
    <col min="8" max="8" width="30.7109375" style="107" customWidth="1"/>
    <col min="9" max="16384" width="9.140625" style="99"/>
  </cols>
  <sheetData>
    <row r="1" spans="1:10" ht="22.9" customHeight="1" thickBot="1">
      <c r="A1" s="188"/>
      <c r="B1" s="189"/>
      <c r="C1" s="189"/>
      <c r="D1" s="189"/>
      <c r="E1" s="189"/>
      <c r="F1" s="189"/>
      <c r="G1" s="189"/>
      <c r="H1" s="190"/>
    </row>
    <row r="2" spans="1:10" ht="18" customHeight="1">
      <c r="A2" s="2" t="s">
        <v>153</v>
      </c>
      <c r="B2" s="3"/>
      <c r="C2" s="4"/>
      <c r="D2" s="4"/>
      <c r="E2" s="4"/>
      <c r="F2" s="5"/>
      <c r="G2" s="5"/>
      <c r="H2" s="100"/>
    </row>
    <row r="3" spans="1:10" s="101" customFormat="1" ht="18" customHeight="1">
      <c r="A3" s="580"/>
      <c r="B3" s="581"/>
      <c r="C3" s="581"/>
      <c r="D3" s="581"/>
      <c r="E3" s="581"/>
      <c r="F3" s="581"/>
      <c r="G3" s="581"/>
      <c r="H3" s="582"/>
    </row>
    <row r="4" spans="1:10" s="102" customFormat="1" ht="11.25" customHeight="1">
      <c r="A4" s="8"/>
      <c r="B4" s="9"/>
      <c r="C4" s="10" t="s">
        <v>1</v>
      </c>
      <c r="D4" s="11">
        <f>SUM(G16,G32,G55,G70,G78,G85)</f>
        <v>19312</v>
      </c>
      <c r="E4" s="12"/>
      <c r="F4" s="12"/>
      <c r="G4" s="12"/>
      <c r="H4" s="13" t="s">
        <v>154</v>
      </c>
    </row>
    <row r="5" spans="1:10" s="102" customFormat="1" ht="11.25" customHeight="1">
      <c r="A5" s="173"/>
      <c r="B5" s="288"/>
      <c r="C5" s="289" t="s">
        <v>2</v>
      </c>
      <c r="D5" s="290">
        <v>1.6</v>
      </c>
      <c r="E5" s="389"/>
      <c r="F5" s="389"/>
      <c r="G5" s="292"/>
      <c r="H5" s="293"/>
    </row>
    <row r="6" spans="1:10" s="102" customFormat="1" ht="18.75" customHeight="1">
      <c r="A6" s="390"/>
      <c r="B6" s="391"/>
      <c r="C6" s="392" t="s">
        <v>3</v>
      </c>
      <c r="D6" s="11">
        <f>SUM(G18,G34,G57,G72,G80,G87)</f>
        <v>30899.200000000001</v>
      </c>
      <c r="E6" s="389"/>
      <c r="F6" s="389"/>
      <c r="G6" s="393"/>
      <c r="H6" s="14"/>
    </row>
    <row r="7" spans="1:10" s="102" customFormat="1" ht="11.25" customHeight="1">
      <c r="A7" s="394"/>
      <c r="B7" s="395"/>
      <c r="C7" s="15"/>
      <c r="D7" s="396"/>
      <c r="E7" s="397"/>
      <c r="F7" s="398"/>
      <c r="G7" s="399"/>
      <c r="H7" s="400"/>
    </row>
    <row r="8" spans="1:10" s="102" customFormat="1" ht="12" customHeight="1">
      <c r="A8" s="401"/>
      <c r="B8" s="16"/>
      <c r="C8" s="16"/>
      <c r="D8" s="402"/>
      <c r="E8" s="403" t="s">
        <v>4</v>
      </c>
      <c r="F8" s="403" t="s">
        <v>5</v>
      </c>
      <c r="G8" s="403" t="s">
        <v>6</v>
      </c>
      <c r="H8" s="404" t="s">
        <v>7</v>
      </c>
    </row>
    <row r="9" spans="1:10" s="39" customFormat="1" ht="13.5">
      <c r="A9" s="583" t="s">
        <v>8</v>
      </c>
      <c r="B9" s="570"/>
      <c r="C9" s="584"/>
      <c r="D9" s="585"/>
      <c r="E9" s="585"/>
      <c r="F9" s="586"/>
      <c r="G9" s="586"/>
      <c r="H9" s="587"/>
    </row>
    <row r="10" spans="1:10" s="39" customFormat="1" ht="13.5">
      <c r="A10" s="348"/>
      <c r="B10" s="349"/>
      <c r="C10" s="350" t="s">
        <v>9</v>
      </c>
      <c r="D10" s="364"/>
      <c r="E10" s="353"/>
      <c r="F10" s="365"/>
      <c r="G10" s="588"/>
      <c r="H10" s="367"/>
      <c r="J10" s="102"/>
    </row>
    <row r="11" spans="1:10" s="39" customFormat="1" ht="13.5">
      <c r="A11" s="18"/>
      <c r="B11" s="19"/>
      <c r="C11" s="20" t="s">
        <v>10</v>
      </c>
      <c r="D11" s="21"/>
      <c r="E11" s="589">
        <v>0</v>
      </c>
      <c r="F11" s="590">
        <v>20</v>
      </c>
      <c r="G11" s="591">
        <f>F11*E11</f>
        <v>0</v>
      </c>
      <c r="H11" s="378"/>
      <c r="J11" s="102"/>
    </row>
    <row r="12" spans="1:10" s="39" customFormat="1" ht="13.5">
      <c r="A12" s="348"/>
      <c r="B12" s="349"/>
      <c r="C12" s="350" t="s">
        <v>12</v>
      </c>
      <c r="D12" s="364"/>
      <c r="E12" s="353">
        <v>0</v>
      </c>
      <c r="F12" s="363">
        <v>60</v>
      </c>
      <c r="G12" s="362">
        <f>E12*F12</f>
        <v>0</v>
      </c>
      <c r="H12" s="378"/>
    </row>
    <row r="13" spans="1:10" s="39" customFormat="1" ht="13.5">
      <c r="A13" s="348"/>
      <c r="B13" s="349"/>
      <c r="C13" s="350" t="s">
        <v>155</v>
      </c>
      <c r="D13" s="364"/>
      <c r="E13" s="353">
        <v>0</v>
      </c>
      <c r="F13" s="363">
        <v>60</v>
      </c>
      <c r="G13" s="362">
        <f>E13*F13</f>
        <v>0</v>
      </c>
      <c r="H13" s="378"/>
    </row>
    <row r="14" spans="1:10" s="39" customFormat="1" ht="13.5">
      <c r="A14" s="348"/>
      <c r="B14" s="349"/>
      <c r="C14" s="350" t="s">
        <v>156</v>
      </c>
      <c r="D14" s="364"/>
      <c r="E14" s="353">
        <v>0</v>
      </c>
      <c r="F14" s="363">
        <v>40</v>
      </c>
      <c r="G14" s="362">
        <f>E14*F14</f>
        <v>0</v>
      </c>
      <c r="H14" s="378"/>
    </row>
    <row r="15" spans="1:10" s="39" customFormat="1" ht="13.5">
      <c r="A15" s="348"/>
      <c r="B15" s="349"/>
      <c r="C15" s="350" t="s">
        <v>95</v>
      </c>
      <c r="D15" s="364"/>
      <c r="E15" s="353">
        <v>4</v>
      </c>
      <c r="F15" s="365">
        <v>100</v>
      </c>
      <c r="G15" s="362">
        <f>E15*F15</f>
        <v>400</v>
      </c>
      <c r="H15" s="378"/>
    </row>
    <row r="16" spans="1:10" s="39" customFormat="1" ht="11.25" customHeight="1">
      <c r="A16" s="23"/>
      <c r="B16" s="24"/>
      <c r="C16" s="30"/>
      <c r="D16" s="25"/>
      <c r="E16" s="26"/>
      <c r="F16" s="27" t="s">
        <v>15</v>
      </c>
      <c r="G16" s="28">
        <f>SUM(G11:G15)</f>
        <v>400</v>
      </c>
      <c r="H16" s="29"/>
    </row>
    <row r="17" spans="1:8" s="39" customFormat="1" ht="11.25" customHeight="1">
      <c r="A17" s="273"/>
      <c r="B17" s="335"/>
      <c r="C17" s="275"/>
      <c r="D17" s="337"/>
      <c r="E17" s="276"/>
      <c r="F17" s="27" t="s">
        <v>16</v>
      </c>
      <c r="G17" s="592">
        <v>1.6</v>
      </c>
      <c r="H17" s="593"/>
    </row>
    <row r="18" spans="1:8" s="39" customFormat="1" ht="12.6" customHeight="1">
      <c r="A18" s="416"/>
      <c r="B18" s="417"/>
      <c r="C18" s="418"/>
      <c r="D18" s="419"/>
      <c r="E18" s="420"/>
      <c r="F18" s="27" t="s">
        <v>17</v>
      </c>
      <c r="G18" s="421">
        <f>G16*G17</f>
        <v>640</v>
      </c>
      <c r="H18" s="422"/>
    </row>
    <row r="19" spans="1:8" s="39" customFormat="1" ht="13.5">
      <c r="A19" s="583" t="s">
        <v>79</v>
      </c>
      <c r="B19" s="443"/>
      <c r="C19" s="594"/>
      <c r="D19" s="445"/>
      <c r="E19" s="445"/>
      <c r="F19" s="446"/>
      <c r="G19" s="446"/>
      <c r="H19" s="595"/>
    </row>
    <row r="20" spans="1:8" s="17" customFormat="1" ht="13.5">
      <c r="A20" s="596"/>
      <c r="B20" s="597"/>
      <c r="C20" s="598" t="s">
        <v>157</v>
      </c>
      <c r="D20" s="599"/>
      <c r="E20" s="600">
        <v>8</v>
      </c>
      <c r="F20" s="601">
        <v>750</v>
      </c>
      <c r="G20" s="602">
        <f t="shared" ref="G20:G31" si="0">E20*F20</f>
        <v>6000</v>
      </c>
      <c r="H20" s="603"/>
    </row>
    <row r="21" spans="1:8" s="39" customFormat="1" ht="13.5">
      <c r="A21" s="596"/>
      <c r="B21" s="597"/>
      <c r="C21" s="598" t="s">
        <v>158</v>
      </c>
      <c r="D21" s="604"/>
      <c r="E21" s="600">
        <v>1</v>
      </c>
      <c r="F21" s="600">
        <v>1000</v>
      </c>
      <c r="G21" s="602">
        <f t="shared" si="0"/>
        <v>1000</v>
      </c>
      <c r="H21" s="378"/>
    </row>
    <row r="22" spans="1:8" s="39" customFormat="1" ht="13.5">
      <c r="A22" s="596"/>
      <c r="B22" s="597"/>
      <c r="C22" s="598" t="s">
        <v>159</v>
      </c>
      <c r="D22" s="604"/>
      <c r="E22" s="600">
        <v>1</v>
      </c>
      <c r="F22" s="600">
        <v>120</v>
      </c>
      <c r="G22" s="602">
        <f t="shared" si="0"/>
        <v>120</v>
      </c>
      <c r="H22" s="378"/>
    </row>
    <row r="23" spans="1:8" s="39" customFormat="1" ht="13.5">
      <c r="A23" s="596"/>
      <c r="B23" s="597"/>
      <c r="C23" s="598" t="s">
        <v>160</v>
      </c>
      <c r="D23" s="604"/>
      <c r="E23" s="600">
        <v>1</v>
      </c>
      <c r="F23" s="600">
        <v>100</v>
      </c>
      <c r="G23" s="602">
        <f t="shared" si="0"/>
        <v>100</v>
      </c>
      <c r="H23" s="378"/>
    </row>
    <row r="24" spans="1:8" s="17" customFormat="1" ht="26.45" customHeight="1">
      <c r="A24" s="596"/>
      <c r="B24" s="597"/>
      <c r="C24" s="605" t="s">
        <v>161</v>
      </c>
      <c r="D24" s="606"/>
      <c r="E24" s="600">
        <v>2</v>
      </c>
      <c r="F24" s="600">
        <v>1000</v>
      </c>
      <c r="G24" s="607">
        <f t="shared" si="0"/>
        <v>2000</v>
      </c>
      <c r="H24" s="378"/>
    </row>
    <row r="25" spans="1:8" s="39" customFormat="1" ht="13.5">
      <c r="A25" s="596"/>
      <c r="B25" s="597"/>
      <c r="C25" s="598" t="s">
        <v>162</v>
      </c>
      <c r="D25" s="604"/>
      <c r="E25" s="600">
        <v>2</v>
      </c>
      <c r="F25" s="600">
        <v>150</v>
      </c>
      <c r="G25" s="602">
        <f t="shared" si="0"/>
        <v>300</v>
      </c>
      <c r="H25" s="378"/>
    </row>
    <row r="26" spans="1:8" s="39" customFormat="1" ht="13.5">
      <c r="A26" s="596"/>
      <c r="B26" s="597"/>
      <c r="C26" s="598" t="s">
        <v>163</v>
      </c>
      <c r="D26" s="604"/>
      <c r="E26" s="600">
        <v>2</v>
      </c>
      <c r="F26" s="600">
        <v>100</v>
      </c>
      <c r="G26" s="602">
        <f t="shared" si="0"/>
        <v>200</v>
      </c>
      <c r="H26" s="378"/>
    </row>
    <row r="27" spans="1:8" s="39" customFormat="1" ht="13.5">
      <c r="A27" s="596"/>
      <c r="B27" s="597"/>
      <c r="C27" s="598" t="s">
        <v>164</v>
      </c>
      <c r="D27" s="599"/>
      <c r="E27" s="601">
        <v>0</v>
      </c>
      <c r="F27" s="600">
        <v>750</v>
      </c>
      <c r="G27" s="602">
        <f t="shared" si="0"/>
        <v>0</v>
      </c>
      <c r="H27" s="378"/>
    </row>
    <row r="28" spans="1:8" s="39" customFormat="1" ht="13.5">
      <c r="A28" s="596"/>
      <c r="B28" s="597"/>
      <c r="C28" s="598" t="s">
        <v>165</v>
      </c>
      <c r="D28" s="604"/>
      <c r="E28" s="600">
        <v>0</v>
      </c>
      <c r="F28" s="600">
        <v>150</v>
      </c>
      <c r="G28" s="602">
        <f t="shared" si="0"/>
        <v>0</v>
      </c>
      <c r="H28" s="378"/>
    </row>
    <row r="29" spans="1:8" s="39" customFormat="1" ht="13.5">
      <c r="A29" s="596"/>
      <c r="B29" s="597"/>
      <c r="C29" s="598" t="s">
        <v>166</v>
      </c>
      <c r="D29" s="604"/>
      <c r="E29" s="600">
        <v>0</v>
      </c>
      <c r="F29" s="600">
        <v>120</v>
      </c>
      <c r="G29" s="602">
        <f t="shared" si="0"/>
        <v>0</v>
      </c>
      <c r="H29" s="378"/>
    </row>
    <row r="30" spans="1:8" s="17" customFormat="1" ht="13.5">
      <c r="A30" s="596"/>
      <c r="B30" s="597"/>
      <c r="C30" s="598" t="s">
        <v>167</v>
      </c>
      <c r="D30" s="599"/>
      <c r="E30" s="600">
        <v>11</v>
      </c>
      <c r="F30" s="600">
        <v>30</v>
      </c>
      <c r="G30" s="602">
        <f t="shared" si="0"/>
        <v>330</v>
      </c>
      <c r="H30" s="450"/>
    </row>
    <row r="31" spans="1:8" s="17" customFormat="1" ht="13.5">
      <c r="A31" s="596"/>
      <c r="B31" s="597"/>
      <c r="C31" s="598" t="s">
        <v>41</v>
      </c>
      <c r="D31" s="599"/>
      <c r="E31" s="600">
        <v>11</v>
      </c>
      <c r="F31" s="601">
        <v>30</v>
      </c>
      <c r="G31" s="602">
        <f t="shared" si="0"/>
        <v>330</v>
      </c>
      <c r="H31" s="450"/>
    </row>
    <row r="32" spans="1:8" s="39" customFormat="1" ht="12.6" customHeight="1">
      <c r="A32" s="23"/>
      <c r="B32" s="24"/>
      <c r="C32" s="30"/>
      <c r="D32" s="25"/>
      <c r="E32" s="26"/>
      <c r="F32" s="27" t="s">
        <v>15</v>
      </c>
      <c r="G32" s="28">
        <f>SUM(G20:G31)</f>
        <v>10380</v>
      </c>
      <c r="H32" s="29"/>
    </row>
    <row r="33" spans="1:143" s="39" customFormat="1" ht="11.25" customHeight="1">
      <c r="A33" s="273"/>
      <c r="B33" s="335"/>
      <c r="C33" s="275"/>
      <c r="D33" s="337"/>
      <c r="E33" s="276"/>
      <c r="F33" s="27" t="s">
        <v>16</v>
      </c>
      <c r="G33" s="592">
        <v>1.6</v>
      </c>
      <c r="H33" s="593"/>
    </row>
    <row r="34" spans="1:143" s="39" customFormat="1" ht="12.6" customHeight="1">
      <c r="A34" s="416"/>
      <c r="B34" s="417"/>
      <c r="C34" s="418"/>
      <c r="D34" s="419"/>
      <c r="E34" s="420"/>
      <c r="F34" s="27" t="s">
        <v>17</v>
      </c>
      <c r="G34" s="421">
        <f>G32*G33</f>
        <v>16608</v>
      </c>
      <c r="H34" s="422"/>
    </row>
    <row r="35" spans="1:143" s="39" customFormat="1" ht="13.5">
      <c r="A35" s="583" t="s">
        <v>135</v>
      </c>
      <c r="B35" s="443"/>
      <c r="C35" s="594"/>
      <c r="D35" s="445"/>
      <c r="E35" s="445"/>
      <c r="F35" s="446"/>
      <c r="G35" s="446"/>
      <c r="H35" s="595"/>
    </row>
    <row r="36" spans="1:143" s="39" customFormat="1" ht="13.5">
      <c r="A36" s="348"/>
      <c r="B36" s="349"/>
      <c r="C36" s="350" t="s">
        <v>168</v>
      </c>
      <c r="D36" s="157"/>
      <c r="E36" s="353">
        <v>1</v>
      </c>
      <c r="F36" s="365">
        <v>200</v>
      </c>
      <c r="G36" s="363">
        <f t="shared" ref="G36:G54" si="1">E36*F36</f>
        <v>200</v>
      </c>
      <c r="H36" s="378"/>
    </row>
    <row r="37" spans="1:143" s="31" customFormat="1" ht="13.5">
      <c r="A37" s="348"/>
      <c r="B37" s="349"/>
      <c r="C37" s="350" t="s">
        <v>169</v>
      </c>
      <c r="D37" s="157"/>
      <c r="E37" s="353">
        <v>1</v>
      </c>
      <c r="F37" s="353">
        <v>240</v>
      </c>
      <c r="G37" s="159">
        <f t="shared" si="1"/>
        <v>240</v>
      </c>
      <c r="H37" s="450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</row>
    <row r="38" spans="1:143" s="31" customFormat="1" ht="13.5">
      <c r="A38" s="348"/>
      <c r="B38" s="349"/>
      <c r="C38" s="350" t="s">
        <v>170</v>
      </c>
      <c r="D38" s="157"/>
      <c r="E38" s="353">
        <v>1</v>
      </c>
      <c r="F38" s="159">
        <v>140</v>
      </c>
      <c r="G38" s="159">
        <f t="shared" si="1"/>
        <v>140</v>
      </c>
      <c r="H38" s="450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</row>
    <row r="39" spans="1:143" s="1" customFormat="1" ht="13.5">
      <c r="A39" s="348"/>
      <c r="B39" s="349"/>
      <c r="C39" s="350" t="s">
        <v>171</v>
      </c>
      <c r="D39" s="157"/>
      <c r="E39" s="353">
        <v>11</v>
      </c>
      <c r="F39" s="353">
        <v>150</v>
      </c>
      <c r="G39" s="159">
        <f t="shared" si="1"/>
        <v>1650</v>
      </c>
      <c r="H39" s="450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</row>
    <row r="40" spans="1:143" s="102" customFormat="1" ht="13.5">
      <c r="A40" s="348"/>
      <c r="B40" s="349"/>
      <c r="C40" s="350" t="s">
        <v>172</v>
      </c>
      <c r="D40" s="350"/>
      <c r="E40" s="353">
        <v>9</v>
      </c>
      <c r="F40" s="353">
        <v>100</v>
      </c>
      <c r="G40" s="159">
        <f t="shared" si="1"/>
        <v>900</v>
      </c>
      <c r="H40" s="577"/>
      <c r="I40" s="39"/>
    </row>
    <row r="41" spans="1:143" s="1" customFormat="1" ht="13.5">
      <c r="A41" s="348"/>
      <c r="B41" s="349"/>
      <c r="C41" s="350" t="s">
        <v>173</v>
      </c>
      <c r="D41" s="157"/>
      <c r="E41" s="353">
        <v>2</v>
      </c>
      <c r="F41" s="353">
        <v>150</v>
      </c>
      <c r="G41" s="159">
        <f t="shared" si="1"/>
        <v>300</v>
      </c>
      <c r="H41" s="577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</row>
    <row r="42" spans="1:143" s="1" customFormat="1" ht="13.5">
      <c r="A42" s="348"/>
      <c r="B42" s="349"/>
      <c r="C42" s="350" t="s">
        <v>174</v>
      </c>
      <c r="D42" s="157"/>
      <c r="E42" s="353">
        <v>0</v>
      </c>
      <c r="F42" s="353">
        <v>350</v>
      </c>
      <c r="G42" s="159">
        <f t="shared" si="1"/>
        <v>0</v>
      </c>
      <c r="H42" s="577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</row>
    <row r="43" spans="1:143" s="102" customFormat="1" ht="13.5">
      <c r="A43" s="348"/>
      <c r="B43" s="349"/>
      <c r="C43" s="160" t="s">
        <v>175</v>
      </c>
      <c r="D43" s="157"/>
      <c r="E43" s="608">
        <v>30</v>
      </c>
      <c r="F43" s="602">
        <v>14</v>
      </c>
      <c r="G43" s="159">
        <f t="shared" si="1"/>
        <v>420</v>
      </c>
      <c r="H43" s="161"/>
    </row>
    <row r="44" spans="1:143" s="102" customFormat="1" ht="13.5">
      <c r="A44" s="348"/>
      <c r="B44" s="349"/>
      <c r="C44" s="160" t="s">
        <v>176</v>
      </c>
      <c r="D44" s="160"/>
      <c r="E44" s="353">
        <v>0</v>
      </c>
      <c r="F44" s="353">
        <v>200</v>
      </c>
      <c r="G44" s="353">
        <f t="shared" si="1"/>
        <v>0</v>
      </c>
      <c r="H44" s="378"/>
    </row>
    <row r="45" spans="1:143" s="39" customFormat="1" ht="13.5">
      <c r="A45" s="348"/>
      <c r="B45" s="349"/>
      <c r="C45" s="350" t="s">
        <v>177</v>
      </c>
      <c r="D45" s="350"/>
      <c r="E45" s="353">
        <v>6</v>
      </c>
      <c r="F45" s="365">
        <v>40</v>
      </c>
      <c r="G45" s="363">
        <f t="shared" si="1"/>
        <v>240</v>
      </c>
      <c r="H45" s="378"/>
    </row>
    <row r="46" spans="1:143" s="39" customFormat="1" ht="13.5">
      <c r="A46" s="348"/>
      <c r="B46" s="349"/>
      <c r="C46" s="350" t="s">
        <v>178</v>
      </c>
      <c r="D46" s="350"/>
      <c r="E46" s="353">
        <v>2</v>
      </c>
      <c r="F46" s="365">
        <v>80</v>
      </c>
      <c r="G46" s="363">
        <f t="shared" si="1"/>
        <v>160</v>
      </c>
      <c r="H46" s="378"/>
    </row>
    <row r="47" spans="1:143" s="1" customFormat="1" ht="13.5">
      <c r="A47" s="348"/>
      <c r="B47" s="349"/>
      <c r="C47" s="350" t="s">
        <v>137</v>
      </c>
      <c r="D47" s="157"/>
      <c r="E47" s="353">
        <v>1</v>
      </c>
      <c r="F47" s="353">
        <v>180</v>
      </c>
      <c r="G47" s="159">
        <f t="shared" si="1"/>
        <v>180</v>
      </c>
      <c r="H47" s="378"/>
    </row>
    <row r="48" spans="1:143" s="102" customFormat="1" ht="13.5">
      <c r="A48" s="348"/>
      <c r="B48" s="349"/>
      <c r="C48" s="350" t="s">
        <v>36</v>
      </c>
      <c r="D48" s="157"/>
      <c r="E48" s="353">
        <v>1</v>
      </c>
      <c r="F48" s="353">
        <v>60</v>
      </c>
      <c r="G48" s="159">
        <f t="shared" si="1"/>
        <v>60</v>
      </c>
      <c r="H48" s="378"/>
    </row>
    <row r="49" spans="1:8" s="1" customFormat="1" ht="13.5">
      <c r="A49" s="348"/>
      <c r="B49" s="349"/>
      <c r="C49" s="350" t="s">
        <v>103</v>
      </c>
      <c r="D49" s="157"/>
      <c r="E49" s="353">
        <v>2</v>
      </c>
      <c r="F49" s="159">
        <v>20</v>
      </c>
      <c r="G49" s="159">
        <f t="shared" si="1"/>
        <v>40</v>
      </c>
      <c r="H49" s="578"/>
    </row>
    <row r="50" spans="1:8" s="1" customFormat="1" ht="13.5">
      <c r="A50" s="348"/>
      <c r="B50" s="349"/>
      <c r="C50" s="350" t="s">
        <v>179</v>
      </c>
      <c r="D50" s="157"/>
      <c r="E50" s="353">
        <v>0</v>
      </c>
      <c r="F50" s="159">
        <v>30</v>
      </c>
      <c r="G50" s="159">
        <f t="shared" si="1"/>
        <v>0</v>
      </c>
      <c r="H50" s="378"/>
    </row>
    <row r="51" spans="1:8" s="1" customFormat="1" ht="13.5">
      <c r="A51" s="348"/>
      <c r="B51" s="349"/>
      <c r="C51" s="350" t="s">
        <v>44</v>
      </c>
      <c r="D51" s="157"/>
      <c r="E51" s="353">
        <v>3</v>
      </c>
      <c r="F51" s="159">
        <v>10</v>
      </c>
      <c r="G51" s="159">
        <f t="shared" si="1"/>
        <v>30</v>
      </c>
      <c r="H51" s="161"/>
    </row>
    <row r="52" spans="1:8" s="31" customFormat="1" ht="13.5">
      <c r="A52" s="348"/>
      <c r="B52" s="349"/>
      <c r="C52" s="350" t="s">
        <v>43</v>
      </c>
      <c r="D52" s="157"/>
      <c r="E52" s="353">
        <v>4</v>
      </c>
      <c r="F52" s="159">
        <v>30</v>
      </c>
      <c r="G52" s="362">
        <f t="shared" si="1"/>
        <v>120</v>
      </c>
      <c r="H52" s="378"/>
    </row>
    <row r="53" spans="1:8" s="102" customFormat="1" ht="13.5">
      <c r="A53" s="348"/>
      <c r="B53" s="349"/>
      <c r="C53" s="350" t="s">
        <v>65</v>
      </c>
      <c r="D53" s="157"/>
      <c r="E53" s="353">
        <v>4</v>
      </c>
      <c r="F53" s="159">
        <v>45</v>
      </c>
      <c r="G53" s="159">
        <f t="shared" si="1"/>
        <v>180</v>
      </c>
      <c r="H53" s="378"/>
    </row>
    <row r="54" spans="1:8" s="102" customFormat="1" ht="13.5">
      <c r="A54" s="348"/>
      <c r="B54" s="349"/>
      <c r="C54" s="350" t="s">
        <v>180</v>
      </c>
      <c r="D54" s="157"/>
      <c r="E54" s="353">
        <v>2</v>
      </c>
      <c r="F54" s="159">
        <v>24</v>
      </c>
      <c r="G54" s="159">
        <f t="shared" si="1"/>
        <v>48</v>
      </c>
      <c r="H54" s="378"/>
    </row>
    <row r="55" spans="1:8" s="39" customFormat="1" ht="11.25" customHeight="1">
      <c r="A55" s="23"/>
      <c r="B55" s="24"/>
      <c r="C55" s="30"/>
      <c r="D55" s="25"/>
      <c r="E55" s="26"/>
      <c r="F55" s="103" t="s">
        <v>15</v>
      </c>
      <c r="G55" s="28">
        <f>SUM(G36:G54)</f>
        <v>4908</v>
      </c>
      <c r="H55" s="29"/>
    </row>
    <row r="56" spans="1:8" s="39" customFormat="1" ht="11.45" customHeight="1">
      <c r="A56" s="273"/>
      <c r="B56" s="335"/>
      <c r="C56" s="275"/>
      <c r="D56" s="337"/>
      <c r="E56" s="276"/>
      <c r="F56" s="609" t="s">
        <v>16</v>
      </c>
      <c r="G56" s="592">
        <v>1.6</v>
      </c>
      <c r="H56" s="593"/>
    </row>
    <row r="57" spans="1:8" s="39" customFormat="1" ht="13.15" customHeight="1">
      <c r="A57" s="435"/>
      <c r="B57" s="436"/>
      <c r="C57" s="437"/>
      <c r="D57" s="438"/>
      <c r="E57" s="439"/>
      <c r="F57" s="610" t="s">
        <v>17</v>
      </c>
      <c r="G57" s="440">
        <f>G55*G56</f>
        <v>7852.8</v>
      </c>
      <c r="H57" s="441"/>
    </row>
    <row r="58" spans="1:8" s="39" customFormat="1" ht="13.5">
      <c r="A58" s="583" t="s">
        <v>48</v>
      </c>
      <c r="B58" s="443"/>
      <c r="C58" s="594"/>
      <c r="D58" s="445"/>
      <c r="E58" s="445"/>
      <c r="F58" s="446"/>
      <c r="G58" s="446"/>
      <c r="H58" s="595"/>
    </row>
    <row r="59" spans="1:8" s="39" customFormat="1" ht="26.45" customHeight="1">
      <c r="A59" s="348"/>
      <c r="B59" s="349"/>
      <c r="C59" s="160" t="s">
        <v>181</v>
      </c>
      <c r="D59" s="364"/>
      <c r="E59" s="159">
        <v>1</v>
      </c>
      <c r="F59" s="365">
        <v>600</v>
      </c>
      <c r="G59" s="362">
        <f t="shared" ref="G59:G69" si="2">E59*F59</f>
        <v>600</v>
      </c>
      <c r="H59" s="577"/>
    </row>
    <row r="60" spans="1:8" s="39" customFormat="1" ht="27" customHeight="1">
      <c r="A60" s="348"/>
      <c r="B60" s="349"/>
      <c r="C60" s="160" t="s">
        <v>49</v>
      </c>
      <c r="D60" s="364"/>
      <c r="E60" s="159">
        <v>1</v>
      </c>
      <c r="F60" s="611">
        <v>360</v>
      </c>
      <c r="G60" s="362">
        <f t="shared" si="2"/>
        <v>360</v>
      </c>
      <c r="H60" s="577"/>
    </row>
    <row r="61" spans="1:8" s="39" customFormat="1" ht="13.5">
      <c r="A61" s="348"/>
      <c r="B61" s="349"/>
      <c r="C61" s="160" t="s">
        <v>182</v>
      </c>
      <c r="D61" s="364"/>
      <c r="E61" s="159">
        <v>1</v>
      </c>
      <c r="F61" s="365">
        <v>100</v>
      </c>
      <c r="G61" s="362">
        <f t="shared" si="2"/>
        <v>100</v>
      </c>
      <c r="H61" s="577"/>
    </row>
    <row r="62" spans="1:8" s="39" customFormat="1" ht="13.5">
      <c r="A62" s="348"/>
      <c r="B62" s="349"/>
      <c r="C62" s="160" t="s">
        <v>183</v>
      </c>
      <c r="D62" s="612"/>
      <c r="E62" s="353">
        <v>1</v>
      </c>
      <c r="F62" s="611">
        <v>180</v>
      </c>
      <c r="G62" s="461">
        <f t="shared" si="2"/>
        <v>180</v>
      </c>
      <c r="H62" s="378"/>
    </row>
    <row r="63" spans="1:8" s="39" customFormat="1" ht="13.5">
      <c r="A63" s="348"/>
      <c r="B63" s="349"/>
      <c r="C63" s="160" t="s">
        <v>184</v>
      </c>
      <c r="D63" s="612"/>
      <c r="E63" s="353">
        <v>1</v>
      </c>
      <c r="F63" s="611">
        <v>400</v>
      </c>
      <c r="G63" s="461">
        <f t="shared" si="2"/>
        <v>400</v>
      </c>
      <c r="H63" s="378"/>
    </row>
    <row r="64" spans="1:8" s="39" customFormat="1" ht="13.5">
      <c r="A64" s="348"/>
      <c r="B64" s="349"/>
      <c r="C64" s="160" t="s">
        <v>185</v>
      </c>
      <c r="D64" s="612"/>
      <c r="E64" s="353">
        <v>1</v>
      </c>
      <c r="F64" s="611">
        <v>140</v>
      </c>
      <c r="G64" s="461">
        <f t="shared" si="2"/>
        <v>140</v>
      </c>
      <c r="H64" s="378"/>
    </row>
    <row r="65" spans="1:8" s="39" customFormat="1" ht="13.5">
      <c r="A65" s="348"/>
      <c r="B65" s="349"/>
      <c r="C65" s="160" t="s">
        <v>186</v>
      </c>
      <c r="D65" s="612"/>
      <c r="E65" s="353">
        <v>1</v>
      </c>
      <c r="F65" s="611">
        <v>140</v>
      </c>
      <c r="G65" s="461">
        <f t="shared" si="2"/>
        <v>140</v>
      </c>
      <c r="H65" s="378"/>
    </row>
    <row r="66" spans="1:8" s="39" customFormat="1" ht="13.5">
      <c r="A66" s="348"/>
      <c r="B66" s="349"/>
      <c r="C66" s="350" t="s">
        <v>51</v>
      </c>
      <c r="D66" s="612"/>
      <c r="E66" s="353">
        <v>4</v>
      </c>
      <c r="F66" s="365">
        <v>54</v>
      </c>
      <c r="G66" s="461">
        <f t="shared" si="2"/>
        <v>216</v>
      </c>
      <c r="H66" s="378"/>
    </row>
    <row r="67" spans="1:8" s="39" customFormat="1" ht="13.5">
      <c r="A67" s="348"/>
      <c r="B67" s="349"/>
      <c r="C67" s="350" t="s">
        <v>187</v>
      </c>
      <c r="D67" s="612"/>
      <c r="E67" s="353">
        <v>2</v>
      </c>
      <c r="F67" s="365">
        <v>50</v>
      </c>
      <c r="G67" s="461">
        <f t="shared" si="2"/>
        <v>100</v>
      </c>
      <c r="H67" s="378"/>
    </row>
    <row r="68" spans="1:8" s="17" customFormat="1" ht="13.5">
      <c r="A68" s="348"/>
      <c r="B68" s="349"/>
      <c r="C68" s="350" t="s">
        <v>51</v>
      </c>
      <c r="D68" s="612"/>
      <c r="E68" s="353">
        <v>2</v>
      </c>
      <c r="F68" s="365">
        <v>54</v>
      </c>
      <c r="G68" s="461">
        <f t="shared" si="2"/>
        <v>108</v>
      </c>
      <c r="H68" s="378"/>
    </row>
    <row r="69" spans="1:8" s="39" customFormat="1" ht="13.5">
      <c r="A69" s="348"/>
      <c r="B69" s="349"/>
      <c r="C69" s="160" t="s">
        <v>188</v>
      </c>
      <c r="D69" s="364"/>
      <c r="E69" s="452">
        <v>1</v>
      </c>
      <c r="F69" s="611">
        <v>60</v>
      </c>
      <c r="G69" s="362">
        <f t="shared" si="2"/>
        <v>60</v>
      </c>
      <c r="H69" s="454"/>
    </row>
    <row r="70" spans="1:8" s="39" customFormat="1" ht="11.25" customHeight="1">
      <c r="A70" s="23"/>
      <c r="B70" s="24"/>
      <c r="C70" s="30"/>
      <c r="D70" s="32"/>
      <c r="E70" s="26"/>
      <c r="F70" s="103" t="s">
        <v>53</v>
      </c>
      <c r="G70" s="28">
        <f>SUM(G59:G69)</f>
        <v>2404</v>
      </c>
      <c r="H70" s="29"/>
    </row>
    <row r="71" spans="1:8" s="39" customFormat="1" ht="11.25" customHeight="1">
      <c r="A71" s="23"/>
      <c r="B71" s="24"/>
      <c r="C71" s="275"/>
      <c r="D71" s="264"/>
      <c r="E71" s="276"/>
      <c r="F71" s="609" t="s">
        <v>16</v>
      </c>
      <c r="G71" s="592">
        <v>1.6</v>
      </c>
      <c r="H71" s="593"/>
    </row>
    <row r="72" spans="1:8" s="39" customFormat="1" ht="11.25" customHeight="1">
      <c r="A72" s="23"/>
      <c r="B72" s="33"/>
      <c r="C72" s="455"/>
      <c r="D72" s="456"/>
      <c r="E72" s="457"/>
      <c r="F72" s="613" t="s">
        <v>17</v>
      </c>
      <c r="G72" s="458">
        <f>G70*G71</f>
        <v>3846.4</v>
      </c>
      <c r="H72" s="459"/>
    </row>
    <row r="73" spans="1:8" s="39" customFormat="1" ht="13.5">
      <c r="A73" s="583" t="s">
        <v>54</v>
      </c>
      <c r="B73" s="443"/>
      <c r="C73" s="594"/>
      <c r="D73" s="445"/>
      <c r="E73" s="445"/>
      <c r="F73" s="446"/>
      <c r="G73" s="446"/>
      <c r="H73" s="595"/>
    </row>
    <row r="74" spans="1:8" s="17" customFormat="1" ht="13.5">
      <c r="A74" s="348"/>
      <c r="B74" s="349"/>
      <c r="C74" s="350" t="s">
        <v>55</v>
      </c>
      <c r="D74" s="364"/>
      <c r="E74" s="159">
        <v>3</v>
      </c>
      <c r="F74" s="365">
        <v>100</v>
      </c>
      <c r="G74" s="362">
        <f>E74*F74</f>
        <v>300</v>
      </c>
      <c r="H74" s="454"/>
    </row>
    <row r="75" spans="1:8" s="39" customFormat="1" ht="13.5">
      <c r="A75" s="348"/>
      <c r="B75" s="349"/>
      <c r="C75" s="160" t="s">
        <v>189</v>
      </c>
      <c r="D75" s="612"/>
      <c r="E75" s="353">
        <v>1</v>
      </c>
      <c r="F75" s="365">
        <v>140</v>
      </c>
      <c r="G75" s="461">
        <f t="shared" ref="G75:G77" si="3">E75*F75</f>
        <v>140</v>
      </c>
      <c r="H75" s="378"/>
    </row>
    <row r="76" spans="1:8" s="39" customFormat="1" ht="13.5">
      <c r="A76" s="348"/>
      <c r="B76" s="349"/>
      <c r="C76" s="160" t="s">
        <v>190</v>
      </c>
      <c r="D76" s="612"/>
      <c r="E76" s="353">
        <v>1</v>
      </c>
      <c r="F76" s="365">
        <v>180</v>
      </c>
      <c r="G76" s="461">
        <f t="shared" si="3"/>
        <v>180</v>
      </c>
      <c r="H76" s="378"/>
    </row>
    <row r="77" spans="1:8" s="39" customFormat="1" ht="13.5">
      <c r="A77" s="348"/>
      <c r="B77" s="349"/>
      <c r="C77" s="160" t="s">
        <v>39</v>
      </c>
      <c r="D77" s="612"/>
      <c r="E77" s="353">
        <v>1</v>
      </c>
      <c r="F77" s="365">
        <v>240</v>
      </c>
      <c r="G77" s="461">
        <f t="shared" si="3"/>
        <v>240</v>
      </c>
      <c r="H77" s="378"/>
    </row>
    <row r="78" spans="1:8" s="39" customFormat="1" ht="13.5">
      <c r="A78" s="23"/>
      <c r="B78" s="24"/>
      <c r="C78" s="30"/>
      <c r="D78" s="32"/>
      <c r="E78" s="26"/>
      <c r="F78" s="103" t="s">
        <v>53</v>
      </c>
      <c r="G78" s="28">
        <f>SUM(G74:G77)</f>
        <v>860</v>
      </c>
      <c r="H78" s="29"/>
    </row>
    <row r="79" spans="1:8" s="39" customFormat="1" ht="13.5">
      <c r="A79" s="23"/>
      <c r="B79" s="24"/>
      <c r="C79" s="275"/>
      <c r="D79" s="264"/>
      <c r="E79" s="276"/>
      <c r="F79" s="609" t="s">
        <v>16</v>
      </c>
      <c r="G79" s="592">
        <v>1.6</v>
      </c>
      <c r="H79" s="593"/>
    </row>
    <row r="80" spans="1:8" s="39" customFormat="1" ht="11.25" customHeight="1">
      <c r="A80" s="23"/>
      <c r="B80" s="33"/>
      <c r="C80" s="455"/>
      <c r="D80" s="456"/>
      <c r="E80" s="457"/>
      <c r="F80" s="613" t="s">
        <v>17</v>
      </c>
      <c r="G80" s="458">
        <f>G78*G79</f>
        <v>1376</v>
      </c>
      <c r="H80" s="459"/>
    </row>
    <row r="81" spans="1:8" s="39" customFormat="1" ht="11.25" customHeight="1">
      <c r="A81" s="583" t="s">
        <v>59</v>
      </c>
      <c r="B81" s="443"/>
      <c r="C81" s="594"/>
      <c r="D81" s="445"/>
      <c r="E81" s="445"/>
      <c r="F81" s="446"/>
      <c r="G81" s="446"/>
      <c r="H81" s="595"/>
    </row>
    <row r="82" spans="1:8" s="39" customFormat="1" ht="11.45" customHeight="1">
      <c r="A82" s="348"/>
      <c r="B82" s="349"/>
      <c r="C82" s="350" t="s">
        <v>60</v>
      </c>
      <c r="D82" s="364"/>
      <c r="E82" s="353">
        <v>1</v>
      </c>
      <c r="F82" s="365">
        <v>126</v>
      </c>
      <c r="G82" s="461">
        <f>E82*F82</f>
        <v>126</v>
      </c>
      <c r="H82" s="378"/>
    </row>
    <row r="83" spans="1:8" s="39" customFormat="1" ht="11.45" customHeight="1">
      <c r="A83" s="348"/>
      <c r="B83" s="349"/>
      <c r="C83" s="350" t="s">
        <v>191</v>
      </c>
      <c r="D83" s="364"/>
      <c r="E83" s="353">
        <v>1</v>
      </c>
      <c r="F83" s="365">
        <v>126</v>
      </c>
      <c r="G83" s="461">
        <f>E83*F83</f>
        <v>126</v>
      </c>
      <c r="H83" s="378"/>
    </row>
    <row r="84" spans="1:8" s="102" customFormat="1" ht="13.5">
      <c r="A84" s="348"/>
      <c r="B84" s="349"/>
      <c r="C84" s="350" t="s">
        <v>61</v>
      </c>
      <c r="D84" s="364"/>
      <c r="E84" s="462">
        <v>1</v>
      </c>
      <c r="F84" s="462">
        <v>108</v>
      </c>
      <c r="G84" s="462">
        <f>F84*E84</f>
        <v>108</v>
      </c>
      <c r="H84" s="463"/>
    </row>
    <row r="85" spans="1:8" s="102" customFormat="1" ht="13.5">
      <c r="A85" s="23"/>
      <c r="B85" s="24"/>
      <c r="C85" s="34"/>
      <c r="D85" s="32"/>
      <c r="E85" s="26"/>
      <c r="F85" s="103" t="s">
        <v>53</v>
      </c>
      <c r="G85" s="28">
        <f>SUM(G82:G84)</f>
        <v>360</v>
      </c>
      <c r="H85" s="35"/>
    </row>
    <row r="86" spans="1:8" s="102" customFormat="1" ht="13.5">
      <c r="A86" s="273"/>
      <c r="B86" s="335"/>
      <c r="C86" s="275"/>
      <c r="D86" s="264"/>
      <c r="E86" s="276"/>
      <c r="F86" s="609" t="s">
        <v>16</v>
      </c>
      <c r="G86" s="277">
        <v>1.6</v>
      </c>
      <c r="H86" s="278"/>
    </row>
    <row r="87" spans="1:8" s="102" customFormat="1" ht="14.25" thickBot="1">
      <c r="A87" s="167"/>
      <c r="B87" s="168"/>
      <c r="C87" s="169"/>
      <c r="D87" s="464"/>
      <c r="E87" s="170"/>
      <c r="F87" s="614" t="s">
        <v>17</v>
      </c>
      <c r="G87" s="172">
        <f>G85*G86</f>
        <v>576</v>
      </c>
      <c r="H87" s="465"/>
    </row>
    <row r="88" spans="1:8" s="102" customFormat="1" ht="13.5">
      <c r="A88" s="104"/>
      <c r="F88" s="105"/>
      <c r="G88" s="105"/>
      <c r="H88" s="105"/>
    </row>
    <row r="89" spans="1:8" s="102" customFormat="1" ht="13.5">
      <c r="A89" s="104"/>
      <c r="F89" s="105"/>
      <c r="G89" s="105"/>
      <c r="H89" s="105"/>
    </row>
    <row r="90" spans="1:8" s="102" customFormat="1" ht="13.5">
      <c r="A90" s="104"/>
      <c r="F90" s="105"/>
      <c r="G90" s="105"/>
      <c r="H90" s="105"/>
    </row>
    <row r="91" spans="1:8" s="102" customFormat="1" ht="13.5">
      <c r="A91" s="104"/>
      <c r="F91" s="105"/>
      <c r="G91" s="105"/>
      <c r="H91" s="105"/>
    </row>
    <row r="92" spans="1:8" s="102" customFormat="1" ht="13.5">
      <c r="A92" s="104"/>
      <c r="F92" s="105"/>
      <c r="G92" s="105"/>
      <c r="H92" s="105"/>
    </row>
    <row r="93" spans="1:8" s="102" customFormat="1" ht="13.5">
      <c r="A93" s="104"/>
      <c r="F93" s="105"/>
      <c r="G93" s="105"/>
      <c r="H93" s="105"/>
    </row>
    <row r="94" spans="1:8" s="102" customFormat="1" ht="13.5">
      <c r="A94" s="104"/>
      <c r="F94" s="105"/>
      <c r="G94" s="105"/>
      <c r="H94" s="105"/>
    </row>
  </sheetData>
  <mergeCells count="1">
    <mergeCell ref="A1:H1"/>
  </mergeCells>
  <printOptions horizontalCentered="1"/>
  <pageMargins left="0.5" right="0.5" top="1.5" bottom="1.5" header="1.5" footer="1.5"/>
  <pageSetup scale="82" fitToHeight="0" orientation="portrait" r:id="rId1"/>
  <rowBreaks count="1" manualBreakCount="1">
    <brk id="57" max="2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7A8F-949F-4E9F-A12A-9DBCF802430F}">
  <sheetPr>
    <tabColor theme="4" tint="0.39997558519241921"/>
    <pageSetUpPr fitToPage="1"/>
  </sheetPr>
  <dimension ref="A1:AX60"/>
  <sheetViews>
    <sheetView zoomScale="170" zoomScaleNormal="170" zoomScaleSheetLayoutView="100" workbookViewId="0">
      <selection sqref="A1:H1"/>
    </sheetView>
  </sheetViews>
  <sheetFormatPr defaultColWidth="9.140625" defaultRowHeight="11.25"/>
  <cols>
    <col min="1" max="1" width="6.42578125" style="36" customWidth="1"/>
    <col min="2" max="2" width="7.85546875" style="1" customWidth="1"/>
    <col min="3" max="3" width="32.5703125" style="1" customWidth="1"/>
    <col min="4" max="4" width="8.5703125" style="1" customWidth="1"/>
    <col min="5" max="5" width="10.7109375" style="1" customWidth="1"/>
    <col min="6" max="7" width="10.7109375" style="37" customWidth="1"/>
    <col min="8" max="8" width="30.7109375" style="37" customWidth="1"/>
    <col min="9" max="16384" width="9.140625" style="1"/>
  </cols>
  <sheetData>
    <row r="1" spans="1:8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8" ht="18" customHeight="1">
      <c r="A2" s="2" t="s">
        <v>192</v>
      </c>
      <c r="B2" s="3"/>
      <c r="C2" s="4"/>
      <c r="D2" s="4"/>
      <c r="E2" s="4"/>
      <c r="F2" s="5"/>
      <c r="G2" s="5"/>
      <c r="H2" s="6"/>
    </row>
    <row r="3" spans="1:8" s="7" customFormat="1" ht="18" customHeight="1">
      <c r="A3" s="198"/>
      <c r="B3" s="287"/>
      <c r="C3" s="287"/>
      <c r="D3" s="287"/>
      <c r="E3" s="287"/>
      <c r="F3" s="287"/>
      <c r="G3" s="287"/>
      <c r="H3" s="199"/>
    </row>
    <row r="4" spans="1:8" ht="11.25" customHeight="1">
      <c r="A4" s="8"/>
      <c r="B4" s="9"/>
      <c r="C4" s="10" t="s">
        <v>1</v>
      </c>
      <c r="D4" s="11">
        <f>SUM(G16,G23,G43,G53,G58)</f>
        <v>1991</v>
      </c>
      <c r="E4" s="12"/>
      <c r="F4" s="12"/>
      <c r="G4" s="12"/>
      <c r="H4" s="13" t="s">
        <v>193</v>
      </c>
    </row>
    <row r="5" spans="1:8" ht="11.25" customHeight="1">
      <c r="A5" s="173"/>
      <c r="B5" s="288"/>
      <c r="C5" s="289" t="s">
        <v>2</v>
      </c>
      <c r="D5" s="290">
        <v>1.5</v>
      </c>
      <c r="E5" s="389"/>
      <c r="F5" s="389"/>
      <c r="G5" s="292"/>
      <c r="H5" s="293" t="s">
        <v>194</v>
      </c>
    </row>
    <row r="6" spans="1:8" ht="18.75" customHeight="1">
      <c r="A6" s="390"/>
      <c r="B6" s="391"/>
      <c r="C6" s="392" t="s">
        <v>3</v>
      </c>
      <c r="D6" s="11">
        <f>D4*D5</f>
        <v>2986.5</v>
      </c>
      <c r="E6" s="389"/>
      <c r="F6" s="389"/>
      <c r="G6" s="393"/>
      <c r="H6" s="14"/>
    </row>
    <row r="7" spans="1:8" ht="11.25" customHeight="1">
      <c r="A7" s="394"/>
      <c r="B7" s="395"/>
      <c r="C7" s="15"/>
      <c r="D7" s="396"/>
      <c r="E7" s="397"/>
      <c r="F7" s="398"/>
      <c r="G7" s="399"/>
      <c r="H7" s="400"/>
    </row>
    <row r="8" spans="1:8" ht="12" customHeight="1">
      <c r="A8" s="401"/>
      <c r="B8" s="16"/>
      <c r="C8" s="16"/>
      <c r="D8" s="402"/>
      <c r="E8" s="403" t="s">
        <v>4</v>
      </c>
      <c r="F8" s="403" t="s">
        <v>5</v>
      </c>
      <c r="G8" s="403" t="s">
        <v>6</v>
      </c>
      <c r="H8" s="404" t="s">
        <v>7</v>
      </c>
    </row>
    <row r="9" spans="1:8" s="17" customFormat="1" ht="13.5">
      <c r="A9" s="583" t="s">
        <v>8</v>
      </c>
      <c r="B9" s="570"/>
      <c r="C9" s="584"/>
      <c r="D9" s="585"/>
      <c r="E9" s="585"/>
      <c r="F9" s="586"/>
      <c r="G9" s="586"/>
      <c r="H9" s="587"/>
    </row>
    <row r="10" spans="1:8" s="17" customFormat="1" ht="13.5">
      <c r="A10" s="348"/>
      <c r="B10" s="349"/>
      <c r="C10" s="350" t="s">
        <v>9</v>
      </c>
      <c r="D10" s="426"/>
      <c r="E10" s="357"/>
      <c r="F10" s="366"/>
      <c r="G10" s="588"/>
      <c r="H10" s="367"/>
    </row>
    <row r="11" spans="1:8" s="17" customFormat="1" ht="13.5">
      <c r="A11" s="18"/>
      <c r="B11" s="19"/>
      <c r="C11" s="20" t="s">
        <v>10</v>
      </c>
      <c r="D11" s="108"/>
      <c r="E11" s="589">
        <v>6</v>
      </c>
      <c r="F11" s="589">
        <v>20</v>
      </c>
      <c r="G11" s="615">
        <f>F11*E11</f>
        <v>120</v>
      </c>
      <c r="H11" s="378"/>
    </row>
    <row r="12" spans="1:8" s="17" customFormat="1" ht="13.5">
      <c r="A12" s="348"/>
      <c r="B12" s="349"/>
      <c r="C12" s="350" t="s">
        <v>12</v>
      </c>
      <c r="D12" s="426"/>
      <c r="E12" s="352">
        <v>0</v>
      </c>
      <c r="F12" s="363">
        <v>60</v>
      </c>
      <c r="G12" s="362">
        <f>E12*F12</f>
        <v>0</v>
      </c>
      <c r="H12" s="378"/>
    </row>
    <row r="13" spans="1:8" s="17" customFormat="1" ht="13.5">
      <c r="A13" s="348"/>
      <c r="B13" s="349"/>
      <c r="C13" s="350" t="s">
        <v>76</v>
      </c>
      <c r="D13" s="426"/>
      <c r="E13" s="353">
        <v>0</v>
      </c>
      <c r="F13" s="363">
        <v>60</v>
      </c>
      <c r="G13" s="362">
        <f>E13*F13</f>
        <v>0</v>
      </c>
      <c r="H13" s="378"/>
    </row>
    <row r="14" spans="1:8" s="17" customFormat="1" ht="13.5">
      <c r="A14" s="348"/>
      <c r="B14" s="349"/>
      <c r="C14" s="350" t="s">
        <v>11</v>
      </c>
      <c r="D14" s="426"/>
      <c r="E14" s="353">
        <v>0</v>
      </c>
      <c r="F14" s="365">
        <v>40</v>
      </c>
      <c r="G14" s="362">
        <f>E14*F14</f>
        <v>0</v>
      </c>
      <c r="H14" s="378"/>
    </row>
    <row r="15" spans="1:8" s="17" customFormat="1" ht="13.5">
      <c r="A15" s="348"/>
      <c r="B15" s="349"/>
      <c r="C15" s="350" t="s">
        <v>95</v>
      </c>
      <c r="D15" s="426"/>
      <c r="E15" s="353">
        <v>1</v>
      </c>
      <c r="F15" s="365">
        <v>100</v>
      </c>
      <c r="G15" s="362">
        <f>E15*F15</f>
        <v>100</v>
      </c>
      <c r="H15" s="378"/>
    </row>
    <row r="16" spans="1:8" s="17" customFormat="1" ht="11.45" customHeight="1">
      <c r="A16" s="23"/>
      <c r="B16" s="24"/>
      <c r="C16" s="30"/>
      <c r="D16" s="25"/>
      <c r="E16" s="26"/>
      <c r="F16" s="27" t="s">
        <v>15</v>
      </c>
      <c r="G16" s="28">
        <f>SUM(G11:G15)</f>
        <v>220</v>
      </c>
      <c r="H16" s="29"/>
    </row>
    <row r="17" spans="1:50" s="17" customFormat="1" ht="11.45" customHeight="1">
      <c r="A17" s="273"/>
      <c r="B17" s="335"/>
      <c r="C17" s="275"/>
      <c r="D17" s="337"/>
      <c r="E17" s="276"/>
      <c r="F17" s="27" t="s">
        <v>16</v>
      </c>
      <c r="G17" s="277">
        <v>1.5</v>
      </c>
      <c r="H17" s="320"/>
    </row>
    <row r="18" spans="1:50" s="17" customFormat="1" ht="11.45" customHeight="1">
      <c r="A18" s="416"/>
      <c r="B18" s="417"/>
      <c r="C18" s="418"/>
      <c r="D18" s="419"/>
      <c r="E18" s="420"/>
      <c r="F18" s="27" t="s">
        <v>17</v>
      </c>
      <c r="G18" s="421">
        <f>G16*G17</f>
        <v>330</v>
      </c>
      <c r="H18" s="422"/>
    </row>
    <row r="19" spans="1:50" s="17" customFormat="1" ht="13.5">
      <c r="A19" s="583" t="s">
        <v>18</v>
      </c>
      <c r="B19" s="570"/>
      <c r="C19" s="616"/>
      <c r="D19" s="585"/>
      <c r="E19" s="617"/>
      <c r="F19" s="586"/>
      <c r="G19" s="586"/>
      <c r="H19" s="618"/>
    </row>
    <row r="20" spans="1:50" s="17" customFormat="1" ht="39" customHeight="1">
      <c r="A20" s="348"/>
      <c r="B20" s="349"/>
      <c r="C20" s="350" t="s">
        <v>195</v>
      </c>
      <c r="D20" s="426"/>
      <c r="E20" s="352">
        <v>2</v>
      </c>
      <c r="F20" s="357">
        <v>400</v>
      </c>
      <c r="G20" s="363">
        <f>E20*F20</f>
        <v>800</v>
      </c>
      <c r="H20" s="619"/>
    </row>
    <row r="21" spans="1:50" s="17" customFormat="1" ht="13.5">
      <c r="A21" s="348"/>
      <c r="B21" s="349"/>
      <c r="C21" s="350" t="s">
        <v>196</v>
      </c>
      <c r="D21" s="426"/>
      <c r="E21" s="352">
        <v>0</v>
      </c>
      <c r="F21" s="352">
        <v>140</v>
      </c>
      <c r="G21" s="363">
        <f t="shared" ref="G21:G22" si="0">E21*F21</f>
        <v>0</v>
      </c>
      <c r="H21" s="358"/>
    </row>
    <row r="22" spans="1:50" s="17" customFormat="1" ht="13.5">
      <c r="A22" s="348"/>
      <c r="B22" s="349"/>
      <c r="C22" s="350" t="s">
        <v>93</v>
      </c>
      <c r="D22" s="426"/>
      <c r="E22" s="352">
        <v>0</v>
      </c>
      <c r="F22" s="352">
        <v>60</v>
      </c>
      <c r="G22" s="363">
        <f t="shared" si="0"/>
        <v>0</v>
      </c>
      <c r="H22" s="356"/>
    </row>
    <row r="23" spans="1:50" s="17" customFormat="1" ht="11.45" customHeight="1">
      <c r="A23" s="23"/>
      <c r="B23" s="24"/>
      <c r="C23" s="30"/>
      <c r="D23" s="25"/>
      <c r="E23" s="26"/>
      <c r="F23" s="27" t="s">
        <v>15</v>
      </c>
      <c r="G23" s="28">
        <f>SUM(G20:G22)</f>
        <v>800</v>
      </c>
      <c r="H23" s="29"/>
    </row>
    <row r="24" spans="1:50" s="17" customFormat="1" ht="11.45" customHeight="1">
      <c r="A24" s="273"/>
      <c r="B24" s="335"/>
      <c r="C24" s="275"/>
      <c r="D24" s="337"/>
      <c r="E24" s="276"/>
      <c r="F24" s="27" t="s">
        <v>16</v>
      </c>
      <c r="G24" s="277">
        <v>1.5</v>
      </c>
      <c r="H24" s="320"/>
    </row>
    <row r="25" spans="1:50" s="17" customFormat="1" ht="11.45" customHeight="1">
      <c r="A25" s="435"/>
      <c r="B25" s="436"/>
      <c r="C25" s="437"/>
      <c r="D25" s="438"/>
      <c r="E25" s="439"/>
      <c r="F25" s="27" t="s">
        <v>17</v>
      </c>
      <c r="G25" s="440">
        <f>G23*G24</f>
        <v>1200</v>
      </c>
      <c r="H25" s="441"/>
    </row>
    <row r="26" spans="1:50" s="17" customFormat="1" ht="13.5">
      <c r="A26" s="583" t="s">
        <v>27</v>
      </c>
      <c r="B26" s="570"/>
      <c r="C26" s="616"/>
      <c r="D26" s="585"/>
      <c r="E26" s="585"/>
      <c r="F26" s="586"/>
      <c r="G26" s="586"/>
      <c r="H26" s="620"/>
    </row>
    <row r="27" spans="1:50" s="31" customFormat="1" ht="13.5">
      <c r="A27" s="348"/>
      <c r="B27" s="349"/>
      <c r="C27" s="350" t="s">
        <v>197</v>
      </c>
      <c r="D27" s="351"/>
      <c r="E27" s="352">
        <v>0</v>
      </c>
      <c r="F27" s="352">
        <v>160</v>
      </c>
      <c r="G27" s="352">
        <f>E27*F27</f>
        <v>0</v>
      </c>
      <c r="H27" s="35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</row>
    <row r="28" spans="1:50" s="17" customFormat="1" ht="13.15" customHeight="1">
      <c r="A28" s="348"/>
      <c r="B28" s="349"/>
      <c r="C28" s="350" t="s">
        <v>198</v>
      </c>
      <c r="D28" s="426"/>
      <c r="E28" s="353">
        <v>1</v>
      </c>
      <c r="F28" s="365">
        <v>160</v>
      </c>
      <c r="G28" s="362">
        <f t="shared" ref="G28:G42" si="1">E28*F28</f>
        <v>160</v>
      </c>
      <c r="H28" s="370"/>
    </row>
    <row r="29" spans="1:50" ht="13.5">
      <c r="A29" s="348"/>
      <c r="B29" s="349"/>
      <c r="C29" s="350" t="s">
        <v>137</v>
      </c>
      <c r="D29" s="351"/>
      <c r="E29" s="352">
        <v>0</v>
      </c>
      <c r="F29" s="353">
        <v>100</v>
      </c>
      <c r="G29" s="352">
        <f t="shared" si="1"/>
        <v>0</v>
      </c>
      <c r="H29" s="354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</row>
    <row r="30" spans="1:50" ht="13.5">
      <c r="A30" s="348"/>
      <c r="B30" s="349"/>
      <c r="C30" s="350" t="s">
        <v>32</v>
      </c>
      <c r="D30" s="351"/>
      <c r="E30" s="352">
        <v>0</v>
      </c>
      <c r="F30" s="353">
        <v>100</v>
      </c>
      <c r="G30" s="352">
        <f t="shared" si="1"/>
        <v>0</v>
      </c>
      <c r="H30" s="354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</row>
    <row r="31" spans="1:50" ht="13.5">
      <c r="A31" s="348"/>
      <c r="B31" s="349"/>
      <c r="C31" s="350" t="s">
        <v>151</v>
      </c>
      <c r="D31" s="351"/>
      <c r="E31" s="352">
        <v>0</v>
      </c>
      <c r="F31" s="353">
        <v>60</v>
      </c>
      <c r="G31" s="352">
        <f t="shared" si="1"/>
        <v>0</v>
      </c>
      <c r="H31" s="354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</row>
    <row r="32" spans="1:50" ht="13.5">
      <c r="A32" s="348"/>
      <c r="B32" s="349"/>
      <c r="C32" s="350" t="s">
        <v>35</v>
      </c>
      <c r="D32" s="351"/>
      <c r="E32" s="352">
        <v>0</v>
      </c>
      <c r="F32" s="353">
        <v>60</v>
      </c>
      <c r="G32" s="352">
        <f t="shared" si="1"/>
        <v>0</v>
      </c>
      <c r="H32" s="354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</row>
    <row r="33" spans="1:50" ht="13.5">
      <c r="A33" s="348"/>
      <c r="B33" s="349"/>
      <c r="C33" s="350" t="s">
        <v>33</v>
      </c>
      <c r="D33" s="351"/>
      <c r="E33" s="352">
        <v>0</v>
      </c>
      <c r="F33" s="353">
        <v>100</v>
      </c>
      <c r="G33" s="352">
        <f t="shared" si="1"/>
        <v>0</v>
      </c>
      <c r="H33" s="354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</row>
    <row r="34" spans="1:50" ht="13.5">
      <c r="A34" s="348"/>
      <c r="B34" s="349"/>
      <c r="C34" s="350" t="s">
        <v>199</v>
      </c>
      <c r="D34" s="351"/>
      <c r="E34" s="352">
        <v>1</v>
      </c>
      <c r="F34" s="353">
        <v>30</v>
      </c>
      <c r="G34" s="352">
        <f t="shared" si="1"/>
        <v>30</v>
      </c>
      <c r="H34" s="354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</row>
    <row r="35" spans="1:50" ht="13.5">
      <c r="A35" s="348"/>
      <c r="B35" s="349"/>
      <c r="C35" s="350" t="s">
        <v>36</v>
      </c>
      <c r="D35" s="351"/>
      <c r="E35" s="352">
        <v>1</v>
      </c>
      <c r="F35" s="352">
        <v>50</v>
      </c>
      <c r="G35" s="352">
        <f t="shared" si="1"/>
        <v>50</v>
      </c>
      <c r="H35" s="354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</row>
    <row r="36" spans="1:50" ht="13.5">
      <c r="A36" s="348"/>
      <c r="B36" s="349"/>
      <c r="C36" s="359" t="s">
        <v>200</v>
      </c>
      <c r="D36" s="426"/>
      <c r="E36" s="353">
        <v>1</v>
      </c>
      <c r="F36" s="353">
        <v>220</v>
      </c>
      <c r="G36" s="363">
        <f t="shared" si="1"/>
        <v>220</v>
      </c>
      <c r="H36" s="354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</row>
    <row r="37" spans="1:50" ht="13.5">
      <c r="A37" s="348"/>
      <c r="B37" s="349"/>
      <c r="C37" s="350" t="s">
        <v>201</v>
      </c>
      <c r="D37" s="426"/>
      <c r="E37" s="353">
        <v>1</v>
      </c>
      <c r="F37" s="353">
        <v>140</v>
      </c>
      <c r="G37" s="363">
        <f t="shared" si="1"/>
        <v>140</v>
      </c>
      <c r="H37" s="361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1:50" ht="13.5">
      <c r="A38" s="348"/>
      <c r="B38" s="349"/>
      <c r="C38" s="350" t="s">
        <v>202</v>
      </c>
      <c r="D38" s="426"/>
      <c r="E38" s="353">
        <v>1</v>
      </c>
      <c r="F38" s="353">
        <v>200</v>
      </c>
      <c r="G38" s="363">
        <f t="shared" si="1"/>
        <v>200</v>
      </c>
      <c r="H38" s="361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1:50" s="17" customFormat="1" ht="13.5">
      <c r="A39" s="348"/>
      <c r="B39" s="349"/>
      <c r="C39" s="350" t="s">
        <v>41</v>
      </c>
      <c r="D39" s="426"/>
      <c r="E39" s="352">
        <v>0</v>
      </c>
      <c r="F39" s="352">
        <v>24</v>
      </c>
      <c r="G39" s="363">
        <f t="shared" si="1"/>
        <v>0</v>
      </c>
      <c r="H39" s="354"/>
    </row>
    <row r="40" spans="1:50" ht="13.5">
      <c r="A40" s="348"/>
      <c r="B40" s="349"/>
      <c r="C40" s="350" t="s">
        <v>103</v>
      </c>
      <c r="D40" s="351"/>
      <c r="E40" s="352">
        <v>1</v>
      </c>
      <c r="F40" s="352">
        <v>16</v>
      </c>
      <c r="G40" s="352">
        <f t="shared" si="1"/>
        <v>16</v>
      </c>
      <c r="H40" s="361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1:50" s="31" customFormat="1" ht="13.5">
      <c r="A41" s="348"/>
      <c r="B41" s="349"/>
      <c r="C41" s="350" t="s">
        <v>203</v>
      </c>
      <c r="D41" s="351"/>
      <c r="E41" s="352">
        <v>1</v>
      </c>
      <c r="F41" s="352">
        <v>45</v>
      </c>
      <c r="G41" s="362">
        <f t="shared" si="1"/>
        <v>45</v>
      </c>
      <c r="H41" s="378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1:50" s="31" customFormat="1" ht="13.5">
      <c r="A42" s="348"/>
      <c r="B42" s="349"/>
      <c r="C42" s="350" t="s">
        <v>44</v>
      </c>
      <c r="D42" s="351"/>
      <c r="E42" s="352">
        <v>1</v>
      </c>
      <c r="F42" s="352">
        <v>10</v>
      </c>
      <c r="G42" s="362">
        <f t="shared" si="1"/>
        <v>10</v>
      </c>
      <c r="H42" s="361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1:50" s="17" customFormat="1" ht="11.45" customHeight="1">
      <c r="A43" s="23"/>
      <c r="B43" s="24"/>
      <c r="C43" s="30"/>
      <c r="D43" s="25"/>
      <c r="E43" s="26"/>
      <c r="F43" s="27" t="s">
        <v>15</v>
      </c>
      <c r="G43" s="28">
        <f>SUM(G27:G42)</f>
        <v>871</v>
      </c>
      <c r="H43" s="29"/>
    </row>
    <row r="44" spans="1:50" s="17" customFormat="1" ht="11.45" customHeight="1">
      <c r="A44" s="162"/>
      <c r="B44" s="335"/>
      <c r="C44" s="275"/>
      <c r="D44" s="337"/>
      <c r="E44" s="276"/>
      <c r="F44" s="27" t="s">
        <v>16</v>
      </c>
      <c r="G44" s="277">
        <v>1.5</v>
      </c>
      <c r="H44" s="320"/>
    </row>
    <row r="45" spans="1:50" s="17" customFormat="1" ht="11.45" customHeight="1">
      <c r="A45" s="435"/>
      <c r="B45" s="436"/>
      <c r="C45" s="437"/>
      <c r="D45" s="438"/>
      <c r="E45" s="439"/>
      <c r="F45" s="27" t="s">
        <v>17</v>
      </c>
      <c r="G45" s="440">
        <f>G43*G44</f>
        <v>1306.5</v>
      </c>
      <c r="H45" s="441"/>
    </row>
    <row r="46" spans="1:50" s="17" customFormat="1" ht="13.5">
      <c r="A46" s="442" t="s">
        <v>48</v>
      </c>
      <c r="B46" s="570"/>
      <c r="C46" s="616"/>
      <c r="D46" s="585"/>
      <c r="E46" s="585"/>
      <c r="F46" s="586"/>
      <c r="G46" s="586"/>
      <c r="H46" s="447"/>
    </row>
    <row r="47" spans="1:50" s="17" customFormat="1" ht="13.5">
      <c r="A47" s="348"/>
      <c r="B47" s="349"/>
      <c r="C47" s="359" t="s">
        <v>49</v>
      </c>
      <c r="D47" s="426"/>
      <c r="E47" s="352">
        <v>0</v>
      </c>
      <c r="F47" s="365">
        <v>160</v>
      </c>
      <c r="G47" s="362">
        <f>E47*F47</f>
        <v>0</v>
      </c>
      <c r="H47" s="454"/>
    </row>
    <row r="48" spans="1:50" s="17" customFormat="1" ht="13.5">
      <c r="A48" s="348"/>
      <c r="B48" s="349"/>
      <c r="C48" s="359" t="s">
        <v>204</v>
      </c>
      <c r="D48" s="426"/>
      <c r="E48" s="352">
        <v>0</v>
      </c>
      <c r="F48" s="365">
        <v>150</v>
      </c>
      <c r="G48" s="362">
        <f>E48*F48</f>
        <v>0</v>
      </c>
      <c r="H48" s="378"/>
    </row>
    <row r="49" spans="1:8" s="17" customFormat="1" ht="13.5">
      <c r="A49" s="348"/>
      <c r="B49" s="349"/>
      <c r="C49" s="359" t="s">
        <v>205</v>
      </c>
      <c r="D49" s="426"/>
      <c r="E49" s="352">
        <v>0</v>
      </c>
      <c r="F49" s="365">
        <v>200</v>
      </c>
      <c r="G49" s="362">
        <f>E49*F49</f>
        <v>0</v>
      </c>
      <c r="H49" s="378"/>
    </row>
    <row r="50" spans="1:8" s="17" customFormat="1" ht="13.5">
      <c r="A50" s="348"/>
      <c r="B50" s="349"/>
      <c r="C50" s="350" t="s">
        <v>206</v>
      </c>
      <c r="D50" s="426"/>
      <c r="E50" s="352">
        <v>0</v>
      </c>
      <c r="F50" s="363">
        <v>75</v>
      </c>
      <c r="G50" s="362">
        <f t="shared" ref="G50:G52" si="2">E50*F50</f>
        <v>0</v>
      </c>
      <c r="H50" s="454"/>
    </row>
    <row r="51" spans="1:8" s="17" customFormat="1" ht="13.5">
      <c r="A51" s="348"/>
      <c r="B51" s="349"/>
      <c r="C51" s="359" t="s">
        <v>140</v>
      </c>
      <c r="D51" s="426"/>
      <c r="E51" s="452">
        <v>0</v>
      </c>
      <c r="F51" s="611">
        <v>54</v>
      </c>
      <c r="G51" s="362">
        <f t="shared" si="2"/>
        <v>0</v>
      </c>
      <c r="H51" s="454"/>
    </row>
    <row r="52" spans="1:8" s="17" customFormat="1" ht="13.5">
      <c r="A52" s="348"/>
      <c r="B52" s="349"/>
      <c r="C52" s="359" t="s">
        <v>188</v>
      </c>
      <c r="D52" s="426"/>
      <c r="E52" s="452">
        <v>0</v>
      </c>
      <c r="F52" s="611">
        <v>60</v>
      </c>
      <c r="G52" s="362">
        <f t="shared" si="2"/>
        <v>0</v>
      </c>
      <c r="H52" s="454"/>
    </row>
    <row r="53" spans="1:8" s="17" customFormat="1" ht="11.45" customHeight="1">
      <c r="A53" s="23"/>
      <c r="B53" s="24"/>
      <c r="C53" s="30"/>
      <c r="D53" s="32"/>
      <c r="E53" s="26"/>
      <c r="F53" s="27" t="s">
        <v>53</v>
      </c>
      <c r="G53" s="28">
        <f>SUM(G47:G52)</f>
        <v>0</v>
      </c>
      <c r="H53" s="29"/>
    </row>
    <row r="54" spans="1:8" s="17" customFormat="1" ht="11.45" customHeight="1">
      <c r="A54" s="23"/>
      <c r="B54" s="24"/>
      <c r="C54" s="275"/>
      <c r="D54" s="264"/>
      <c r="E54" s="276"/>
      <c r="F54" s="27" t="s">
        <v>16</v>
      </c>
      <c r="G54" s="277">
        <v>1.5</v>
      </c>
      <c r="H54" s="320"/>
    </row>
    <row r="55" spans="1:8" s="17" customFormat="1" ht="11.45" customHeight="1">
      <c r="A55" s="23"/>
      <c r="B55" s="33"/>
      <c r="C55" s="455"/>
      <c r="D55" s="456"/>
      <c r="E55" s="457"/>
      <c r="F55" s="27" t="s">
        <v>17</v>
      </c>
      <c r="G55" s="458">
        <f>G53*G54</f>
        <v>0</v>
      </c>
      <c r="H55" s="459"/>
    </row>
    <row r="56" spans="1:8" s="17" customFormat="1" ht="13.5">
      <c r="A56" s="442" t="s">
        <v>54</v>
      </c>
      <c r="B56" s="570"/>
      <c r="C56" s="616"/>
      <c r="D56" s="585"/>
      <c r="E56" s="585"/>
      <c r="F56" s="586"/>
      <c r="G56" s="586"/>
      <c r="H56" s="460"/>
    </row>
    <row r="57" spans="1:8" s="17" customFormat="1" ht="13.15" customHeight="1">
      <c r="A57" s="348"/>
      <c r="B57" s="349"/>
      <c r="C57" s="350" t="s">
        <v>55</v>
      </c>
      <c r="D57" s="426"/>
      <c r="E57" s="352">
        <v>1</v>
      </c>
      <c r="F57" s="365">
        <v>100</v>
      </c>
      <c r="G57" s="362">
        <f>E57*F57</f>
        <v>100</v>
      </c>
      <c r="H57" s="370"/>
    </row>
    <row r="58" spans="1:8" s="17" customFormat="1" ht="11.45" customHeight="1">
      <c r="A58" s="23"/>
      <c r="B58" s="24"/>
      <c r="C58" s="30"/>
      <c r="D58" s="32"/>
      <c r="E58" s="26"/>
      <c r="F58" s="27" t="s">
        <v>53</v>
      </c>
      <c r="G58" s="28">
        <f>SUM(G57:G57)</f>
        <v>100</v>
      </c>
      <c r="H58" s="29"/>
    </row>
    <row r="59" spans="1:8" s="17" customFormat="1" ht="11.45" customHeight="1">
      <c r="A59" s="23"/>
      <c r="B59" s="24"/>
      <c r="C59" s="275"/>
      <c r="D59" s="264"/>
      <c r="E59" s="276"/>
      <c r="F59" s="27" t="s">
        <v>16</v>
      </c>
      <c r="G59" s="277">
        <v>1.5</v>
      </c>
      <c r="H59" s="320"/>
    </row>
    <row r="60" spans="1:8" s="17" customFormat="1" ht="11.45" customHeight="1" thickBot="1">
      <c r="A60" s="621"/>
      <c r="B60" s="622"/>
      <c r="C60" s="169"/>
      <c r="D60" s="464"/>
      <c r="E60" s="170"/>
      <c r="F60" s="171" t="s">
        <v>17</v>
      </c>
      <c r="G60" s="172">
        <f>G58*G59</f>
        <v>150</v>
      </c>
      <c r="H60" s="623"/>
    </row>
  </sheetData>
  <mergeCells count="1">
    <mergeCell ref="A1:H1"/>
  </mergeCells>
  <printOptions horizontalCentered="1"/>
  <pageMargins left="0.5" right="0.5" top="1.5" bottom="1.5" header="1.5" footer="1.5"/>
  <pageSetup scale="82" fitToHeight="0" orientation="portrait" r:id="rId1"/>
  <rowBreaks count="1" manualBreakCount="1">
    <brk id="45" max="2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F416-6DBB-4F6C-A2A7-37AD1B878E7A}">
  <sheetPr>
    <tabColor theme="4" tint="0.39997558519241921"/>
    <pageSetUpPr fitToPage="1"/>
  </sheetPr>
  <dimension ref="A1:H75"/>
  <sheetViews>
    <sheetView topLeftCell="A78" zoomScale="150" zoomScaleNormal="150" zoomScaleSheetLayoutView="130" workbookViewId="0">
      <selection activeCell="H65" sqref="H65:H66"/>
    </sheetView>
  </sheetViews>
  <sheetFormatPr defaultColWidth="9.140625" defaultRowHeight="11.25"/>
  <cols>
    <col min="1" max="1" width="6.42578125" style="36" customWidth="1"/>
    <col min="2" max="2" width="7.85546875" style="1" customWidth="1"/>
    <col min="3" max="3" width="32.5703125" style="1" customWidth="1"/>
    <col min="4" max="4" width="8.5703125" style="1" customWidth="1"/>
    <col min="5" max="5" width="10.7109375" style="1" customWidth="1"/>
    <col min="6" max="7" width="10.7109375" style="37" customWidth="1"/>
    <col min="8" max="8" width="30.7109375" style="37" customWidth="1"/>
    <col min="9" max="16384" width="9.140625" style="1"/>
  </cols>
  <sheetData>
    <row r="1" spans="1:8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8" ht="18" customHeight="1">
      <c r="A2" s="2" t="s">
        <v>207</v>
      </c>
      <c r="B2" s="3"/>
      <c r="C2" s="4"/>
      <c r="D2" s="4"/>
      <c r="E2" s="4"/>
      <c r="F2" s="5"/>
      <c r="G2" s="5"/>
      <c r="H2" s="6"/>
    </row>
    <row r="3" spans="1:8" s="7" customFormat="1" ht="18" customHeight="1">
      <c r="A3" s="198"/>
      <c r="B3" s="287"/>
      <c r="C3" s="287"/>
      <c r="D3" s="287"/>
      <c r="E3" s="287"/>
      <c r="F3" s="287"/>
      <c r="G3" s="287"/>
      <c r="H3" s="199"/>
    </row>
    <row r="4" spans="1:8" ht="11.25" customHeight="1">
      <c r="A4" s="8"/>
      <c r="B4" s="9"/>
      <c r="C4" s="10" t="s">
        <v>1</v>
      </c>
      <c r="D4" s="11">
        <f>SUM(G16,G29,G52,G60,G67,G73)</f>
        <v>10636</v>
      </c>
      <c r="E4" s="12"/>
      <c r="F4" s="12"/>
      <c r="G4" s="12"/>
      <c r="H4" s="13" t="s">
        <v>208</v>
      </c>
    </row>
    <row r="5" spans="1:8" ht="11.25" customHeight="1">
      <c r="A5" s="173"/>
      <c r="B5" s="288"/>
      <c r="C5" s="289" t="s">
        <v>2</v>
      </c>
      <c r="D5" s="290">
        <v>1.5</v>
      </c>
      <c r="E5" s="389"/>
      <c r="F5" s="389"/>
      <c r="G5" s="292"/>
      <c r="H5" s="293"/>
    </row>
    <row r="6" spans="1:8" ht="18.75" customHeight="1">
      <c r="A6" s="390"/>
      <c r="B6" s="391"/>
      <c r="C6" s="392" t="s">
        <v>3</v>
      </c>
      <c r="D6" s="11">
        <f>D4*D5</f>
        <v>15954</v>
      </c>
      <c r="E6" s="389"/>
      <c r="F6" s="389"/>
      <c r="G6" s="393"/>
      <c r="H6" s="14"/>
    </row>
    <row r="7" spans="1:8" ht="11.25" customHeight="1">
      <c r="A7" s="394"/>
      <c r="B7" s="395"/>
      <c r="C7" s="15"/>
      <c r="D7" s="396"/>
      <c r="E7" s="397"/>
      <c r="F7" s="398"/>
      <c r="G7" s="399"/>
      <c r="H7" s="400"/>
    </row>
    <row r="8" spans="1:8" ht="12" customHeight="1">
      <c r="A8" s="401"/>
      <c r="B8" s="16"/>
      <c r="C8" s="16"/>
      <c r="D8" s="402"/>
      <c r="E8" s="403" t="s">
        <v>4</v>
      </c>
      <c r="F8" s="403" t="s">
        <v>5</v>
      </c>
      <c r="G8" s="403" t="s">
        <v>6</v>
      </c>
      <c r="H8" s="404" t="s">
        <v>7</v>
      </c>
    </row>
    <row r="9" spans="1:8" s="17" customFormat="1" ht="13.5">
      <c r="A9" s="583" t="s">
        <v>8</v>
      </c>
      <c r="B9" s="570"/>
      <c r="C9" s="584"/>
      <c r="D9" s="585"/>
      <c r="E9" s="585"/>
      <c r="F9" s="586"/>
      <c r="G9" s="586"/>
      <c r="H9" s="587"/>
    </row>
    <row r="10" spans="1:8" s="17" customFormat="1" ht="13.5">
      <c r="A10" s="348"/>
      <c r="B10" s="349"/>
      <c r="C10" s="350" t="s">
        <v>9</v>
      </c>
      <c r="D10" s="364"/>
      <c r="E10" s="357"/>
      <c r="F10" s="366"/>
      <c r="G10" s="588"/>
      <c r="H10" s="367"/>
    </row>
    <row r="11" spans="1:8" s="17" customFormat="1" ht="13.5">
      <c r="A11" s="18"/>
      <c r="B11" s="19"/>
      <c r="C11" s="20" t="s">
        <v>10</v>
      </c>
      <c r="D11" s="21"/>
      <c r="E11" s="589">
        <v>24</v>
      </c>
      <c r="F11" s="589">
        <v>20</v>
      </c>
      <c r="G11" s="615">
        <f>F11*E11</f>
        <v>480</v>
      </c>
      <c r="H11" s="378"/>
    </row>
    <row r="12" spans="1:8" s="17" customFormat="1" ht="13.5">
      <c r="A12" s="348"/>
      <c r="B12" s="349"/>
      <c r="C12" s="350" t="s">
        <v>12</v>
      </c>
      <c r="D12" s="364"/>
      <c r="E12" s="353">
        <v>2</v>
      </c>
      <c r="F12" s="363">
        <v>60</v>
      </c>
      <c r="G12" s="362">
        <f>E12*F12</f>
        <v>120</v>
      </c>
      <c r="H12" s="378"/>
    </row>
    <row r="13" spans="1:8" s="17" customFormat="1" ht="13.5">
      <c r="A13" s="348"/>
      <c r="B13" s="349"/>
      <c r="C13" s="350" t="s">
        <v>76</v>
      </c>
      <c r="D13" s="364"/>
      <c r="E13" s="353">
        <v>0</v>
      </c>
      <c r="F13" s="363">
        <v>60</v>
      </c>
      <c r="G13" s="362">
        <f>E13*F13</f>
        <v>0</v>
      </c>
      <c r="H13" s="378"/>
    </row>
    <row r="14" spans="1:8" s="17" customFormat="1" ht="13.5">
      <c r="A14" s="348"/>
      <c r="B14" s="349"/>
      <c r="C14" s="350" t="s">
        <v>11</v>
      </c>
      <c r="D14" s="364"/>
      <c r="E14" s="353">
        <v>1</v>
      </c>
      <c r="F14" s="365">
        <v>40</v>
      </c>
      <c r="G14" s="362">
        <f>E14*F14</f>
        <v>40</v>
      </c>
      <c r="H14" s="378"/>
    </row>
    <row r="15" spans="1:8" s="39" customFormat="1" ht="13.5">
      <c r="A15" s="348"/>
      <c r="B15" s="349"/>
      <c r="C15" s="350" t="s">
        <v>95</v>
      </c>
      <c r="D15" s="364"/>
      <c r="E15" s="353">
        <v>0</v>
      </c>
      <c r="F15" s="365">
        <v>100</v>
      </c>
      <c r="G15" s="362">
        <f>E15*F15</f>
        <v>0</v>
      </c>
      <c r="H15" s="378"/>
    </row>
    <row r="16" spans="1:8" s="17" customFormat="1" ht="11.25" customHeight="1">
      <c r="A16" s="23"/>
      <c r="B16" s="24"/>
      <c r="C16" s="30"/>
      <c r="D16" s="25"/>
      <c r="E16" s="26"/>
      <c r="F16" s="27" t="s">
        <v>15</v>
      </c>
      <c r="G16" s="28">
        <f>SUM(G11:G15)</f>
        <v>640</v>
      </c>
      <c r="H16" s="29"/>
    </row>
    <row r="17" spans="1:8" s="17" customFormat="1" ht="11.25" customHeight="1">
      <c r="A17" s="273"/>
      <c r="B17" s="335"/>
      <c r="C17" s="275"/>
      <c r="D17" s="337"/>
      <c r="E17" s="276"/>
      <c r="F17" s="27" t="s">
        <v>16</v>
      </c>
      <c r="G17" s="277">
        <v>1.5</v>
      </c>
      <c r="H17" s="320"/>
    </row>
    <row r="18" spans="1:8" s="17" customFormat="1" ht="11.25" customHeight="1">
      <c r="A18" s="416"/>
      <c r="B18" s="417"/>
      <c r="C18" s="418"/>
      <c r="D18" s="419"/>
      <c r="E18" s="420"/>
      <c r="F18" s="27" t="s">
        <v>17</v>
      </c>
      <c r="G18" s="421">
        <f>G16*G17</f>
        <v>960</v>
      </c>
      <c r="H18" s="422"/>
    </row>
    <row r="19" spans="1:8" s="17" customFormat="1" ht="13.5">
      <c r="A19" s="583" t="s">
        <v>79</v>
      </c>
      <c r="B19" s="570"/>
      <c r="C19" s="616"/>
      <c r="D19" s="585"/>
      <c r="E19" s="617"/>
      <c r="F19" s="586"/>
      <c r="G19" s="586"/>
      <c r="H19" s="618"/>
    </row>
    <row r="20" spans="1:8" s="17" customFormat="1" ht="13.5">
      <c r="A20" s="348"/>
      <c r="B20" s="349"/>
      <c r="C20" s="350" t="s">
        <v>209</v>
      </c>
      <c r="D20" s="351"/>
      <c r="E20" s="353">
        <v>0</v>
      </c>
      <c r="F20" s="352">
        <v>60</v>
      </c>
      <c r="G20" s="363">
        <f>E20*F20</f>
        <v>0</v>
      </c>
      <c r="H20" s="361"/>
    </row>
    <row r="21" spans="1:8" s="17" customFormat="1" ht="13.5">
      <c r="A21" s="348"/>
      <c r="B21" s="349"/>
      <c r="C21" s="350" t="s">
        <v>210</v>
      </c>
      <c r="D21" s="364"/>
      <c r="E21" s="352">
        <v>11</v>
      </c>
      <c r="F21" s="352">
        <v>100</v>
      </c>
      <c r="G21" s="363">
        <f>E21*F21</f>
        <v>1100</v>
      </c>
      <c r="H21" s="378"/>
    </row>
    <row r="22" spans="1:8" s="17" customFormat="1" ht="13.5">
      <c r="A22" s="348"/>
      <c r="B22" s="349"/>
      <c r="C22" s="350" t="s">
        <v>211</v>
      </c>
      <c r="D22" s="364"/>
      <c r="E22" s="352">
        <v>1</v>
      </c>
      <c r="F22" s="352">
        <v>100</v>
      </c>
      <c r="G22" s="363">
        <f>E22*F22</f>
        <v>100</v>
      </c>
      <c r="H22" s="378"/>
    </row>
    <row r="23" spans="1:8" s="17" customFormat="1" ht="13.5">
      <c r="A23" s="423"/>
      <c r="B23" s="424"/>
      <c r="C23" s="350" t="s">
        <v>196</v>
      </c>
      <c r="D23" s="426"/>
      <c r="E23" s="352">
        <v>27</v>
      </c>
      <c r="F23" s="352">
        <v>140</v>
      </c>
      <c r="G23" s="363">
        <f t="shared" ref="G23:G28" si="0">E23*F23</f>
        <v>3780</v>
      </c>
      <c r="H23" s="354"/>
    </row>
    <row r="24" spans="1:8" s="17" customFormat="1" ht="13.5">
      <c r="A24" s="423"/>
      <c r="B24" s="424"/>
      <c r="C24" s="350" t="s">
        <v>212</v>
      </c>
      <c r="D24" s="426"/>
      <c r="E24" s="352">
        <v>1</v>
      </c>
      <c r="F24" s="352">
        <v>200</v>
      </c>
      <c r="G24" s="363">
        <f t="shared" si="0"/>
        <v>200</v>
      </c>
      <c r="H24" s="354"/>
    </row>
    <row r="25" spans="1:8" s="17" customFormat="1" ht="13.5">
      <c r="A25" s="423"/>
      <c r="B25" s="424"/>
      <c r="C25" s="350" t="s">
        <v>213</v>
      </c>
      <c r="D25" s="426"/>
      <c r="E25" s="352">
        <v>0</v>
      </c>
      <c r="F25" s="352">
        <v>140</v>
      </c>
      <c r="G25" s="363">
        <f t="shared" si="0"/>
        <v>0</v>
      </c>
      <c r="H25" s="354"/>
    </row>
    <row r="26" spans="1:8" s="17" customFormat="1" ht="13.5">
      <c r="A26" s="348"/>
      <c r="B26" s="349"/>
      <c r="C26" s="350" t="s">
        <v>93</v>
      </c>
      <c r="D26" s="364"/>
      <c r="E26" s="352">
        <v>13</v>
      </c>
      <c r="F26" s="352">
        <v>60</v>
      </c>
      <c r="G26" s="363">
        <f t="shared" si="0"/>
        <v>780</v>
      </c>
      <c r="H26" s="624"/>
    </row>
    <row r="27" spans="1:8" s="17" customFormat="1" ht="13.5">
      <c r="A27" s="348"/>
      <c r="B27" s="349"/>
      <c r="C27" s="350" t="s">
        <v>214</v>
      </c>
      <c r="D27" s="364"/>
      <c r="E27" s="352">
        <v>1</v>
      </c>
      <c r="F27" s="352">
        <v>75</v>
      </c>
      <c r="G27" s="363">
        <f t="shared" si="0"/>
        <v>75</v>
      </c>
      <c r="H27" s="624"/>
    </row>
    <row r="28" spans="1:8" s="17" customFormat="1" ht="13.5">
      <c r="A28" s="348"/>
      <c r="B28" s="349"/>
      <c r="C28" s="350" t="s">
        <v>215</v>
      </c>
      <c r="D28" s="351"/>
      <c r="E28" s="353">
        <v>2</v>
      </c>
      <c r="F28" s="352">
        <v>10</v>
      </c>
      <c r="G28" s="363">
        <f t="shared" si="0"/>
        <v>20</v>
      </c>
      <c r="H28" s="361"/>
    </row>
    <row r="29" spans="1:8" s="17" customFormat="1" ht="11.25" customHeight="1">
      <c r="A29" s="23"/>
      <c r="B29" s="24"/>
      <c r="C29" s="30"/>
      <c r="D29" s="25"/>
      <c r="E29" s="26"/>
      <c r="F29" s="27" t="s">
        <v>15</v>
      </c>
      <c r="G29" s="28">
        <f>SUM(G20:G28)</f>
        <v>6055</v>
      </c>
      <c r="H29" s="29"/>
    </row>
    <row r="30" spans="1:8" s="17" customFormat="1" ht="11.25" customHeight="1">
      <c r="A30" s="273"/>
      <c r="B30" s="335"/>
      <c r="C30" s="275"/>
      <c r="D30" s="337"/>
      <c r="E30" s="276"/>
      <c r="F30" s="27" t="s">
        <v>16</v>
      </c>
      <c r="G30" s="277">
        <v>1.5</v>
      </c>
      <c r="H30" s="320"/>
    </row>
    <row r="31" spans="1:8" s="17" customFormat="1" ht="12.6" customHeight="1">
      <c r="A31" s="416"/>
      <c r="B31" s="417"/>
      <c r="C31" s="418"/>
      <c r="D31" s="419"/>
      <c r="E31" s="420"/>
      <c r="F31" s="27" t="s">
        <v>17</v>
      </c>
      <c r="G31" s="421">
        <f>G29*G30</f>
        <v>9082.5</v>
      </c>
      <c r="H31" s="422"/>
    </row>
    <row r="32" spans="1:8" s="17" customFormat="1" ht="13.5">
      <c r="A32" s="583" t="s">
        <v>27</v>
      </c>
      <c r="B32" s="570"/>
      <c r="C32" s="616"/>
      <c r="D32" s="585"/>
      <c r="E32" s="585"/>
      <c r="F32" s="586"/>
      <c r="G32" s="586"/>
      <c r="H32" s="620"/>
    </row>
    <row r="33" spans="1:8" ht="27.6" customHeight="1">
      <c r="A33" s="348"/>
      <c r="B33" s="349"/>
      <c r="C33" s="350" t="s">
        <v>98</v>
      </c>
      <c r="D33" s="351"/>
      <c r="E33" s="352">
        <v>4</v>
      </c>
      <c r="F33" s="353">
        <v>200</v>
      </c>
      <c r="G33" s="352">
        <f>E33*F33</f>
        <v>800</v>
      </c>
      <c r="H33" s="354"/>
    </row>
    <row r="34" spans="1:8" s="31" customFormat="1" ht="13.5">
      <c r="A34" s="348"/>
      <c r="B34" s="349"/>
      <c r="C34" s="429" t="s">
        <v>216</v>
      </c>
      <c r="D34" s="351"/>
      <c r="E34" s="431">
        <v>2</v>
      </c>
      <c r="F34" s="431">
        <v>10</v>
      </c>
      <c r="G34" s="431">
        <f>E34*F34</f>
        <v>20</v>
      </c>
      <c r="H34" s="358"/>
    </row>
    <row r="35" spans="1:8" s="31" customFormat="1" ht="13.5">
      <c r="A35" s="348"/>
      <c r="B35" s="349"/>
      <c r="C35" s="429" t="s">
        <v>31</v>
      </c>
      <c r="D35" s="351"/>
      <c r="E35" s="431">
        <v>0</v>
      </c>
      <c r="F35" s="431">
        <v>145</v>
      </c>
      <c r="G35" s="431">
        <f>E35*F35</f>
        <v>0</v>
      </c>
      <c r="H35" s="356"/>
    </row>
    <row r="36" spans="1:8" s="31" customFormat="1" ht="13.5">
      <c r="A36" s="348"/>
      <c r="B36" s="349"/>
      <c r="C36" s="429" t="s">
        <v>217</v>
      </c>
      <c r="D36" s="351"/>
      <c r="E36" s="431">
        <v>4</v>
      </c>
      <c r="F36" s="431">
        <v>60</v>
      </c>
      <c r="G36" s="431">
        <f>E36*F36</f>
        <v>240</v>
      </c>
      <c r="H36" s="356"/>
    </row>
    <row r="37" spans="1:8" ht="13.5">
      <c r="A37" s="348"/>
      <c r="B37" s="349"/>
      <c r="C37" s="429" t="s">
        <v>32</v>
      </c>
      <c r="D37" s="351"/>
      <c r="E37" s="433">
        <v>3</v>
      </c>
      <c r="F37" s="433">
        <v>145</v>
      </c>
      <c r="G37" s="431">
        <f t="shared" ref="G37:G49" si="1">E37*F37</f>
        <v>435</v>
      </c>
      <c r="H37" s="358"/>
    </row>
    <row r="38" spans="1:8" ht="13.5">
      <c r="A38" s="348"/>
      <c r="B38" s="349"/>
      <c r="C38" s="429" t="s">
        <v>35</v>
      </c>
      <c r="D38" s="351"/>
      <c r="E38" s="431">
        <v>3</v>
      </c>
      <c r="F38" s="431">
        <v>80</v>
      </c>
      <c r="G38" s="431">
        <f t="shared" si="1"/>
        <v>240</v>
      </c>
      <c r="H38" s="361"/>
    </row>
    <row r="39" spans="1:8" ht="13.5">
      <c r="A39" s="348"/>
      <c r="B39" s="349"/>
      <c r="C39" s="429" t="s">
        <v>33</v>
      </c>
      <c r="D39" s="351"/>
      <c r="E39" s="431">
        <v>2</v>
      </c>
      <c r="F39" s="431">
        <v>120</v>
      </c>
      <c r="G39" s="431">
        <f t="shared" si="1"/>
        <v>240</v>
      </c>
      <c r="H39" s="361"/>
    </row>
    <row r="40" spans="1:8" ht="13.5">
      <c r="A40" s="348"/>
      <c r="B40" s="349"/>
      <c r="C40" s="429" t="s">
        <v>36</v>
      </c>
      <c r="D40" s="351"/>
      <c r="E40" s="431">
        <v>1</v>
      </c>
      <c r="F40" s="433">
        <v>60</v>
      </c>
      <c r="G40" s="431">
        <f t="shared" si="1"/>
        <v>60</v>
      </c>
      <c r="H40" s="361"/>
    </row>
    <row r="41" spans="1:8" ht="13.5">
      <c r="A41" s="348"/>
      <c r="B41" s="349"/>
      <c r="C41" s="429" t="s">
        <v>218</v>
      </c>
      <c r="D41" s="351"/>
      <c r="E41" s="431">
        <v>1</v>
      </c>
      <c r="F41" s="433">
        <v>120</v>
      </c>
      <c r="G41" s="431">
        <f t="shared" si="1"/>
        <v>120</v>
      </c>
      <c r="H41" s="361"/>
    </row>
    <row r="42" spans="1:8" ht="13.5">
      <c r="A42" s="348"/>
      <c r="B42" s="349"/>
      <c r="C42" s="429" t="s">
        <v>137</v>
      </c>
      <c r="D42" s="351"/>
      <c r="E42" s="431">
        <v>1</v>
      </c>
      <c r="F42" s="433">
        <v>140</v>
      </c>
      <c r="G42" s="431">
        <f t="shared" si="1"/>
        <v>140</v>
      </c>
      <c r="H42" s="354"/>
    </row>
    <row r="43" spans="1:8" ht="13.5">
      <c r="A43" s="348"/>
      <c r="B43" s="349"/>
      <c r="C43" s="429" t="s">
        <v>38</v>
      </c>
      <c r="D43" s="351"/>
      <c r="E43" s="431">
        <v>1</v>
      </c>
      <c r="F43" s="431">
        <v>40</v>
      </c>
      <c r="G43" s="431">
        <f t="shared" si="1"/>
        <v>40</v>
      </c>
      <c r="H43" s="361"/>
    </row>
    <row r="44" spans="1:8" ht="13.5">
      <c r="A44" s="348"/>
      <c r="B44" s="349"/>
      <c r="C44" s="429" t="s">
        <v>219</v>
      </c>
      <c r="D44" s="351"/>
      <c r="E44" s="431">
        <v>1</v>
      </c>
      <c r="F44" s="431">
        <v>100</v>
      </c>
      <c r="G44" s="431">
        <f t="shared" si="1"/>
        <v>100</v>
      </c>
      <c r="H44" s="361"/>
    </row>
    <row r="45" spans="1:8" ht="13.5">
      <c r="A45" s="348"/>
      <c r="B45" s="349"/>
      <c r="C45" s="350" t="s">
        <v>103</v>
      </c>
      <c r="D45" s="351"/>
      <c r="E45" s="352">
        <v>2</v>
      </c>
      <c r="F45" s="352">
        <v>24</v>
      </c>
      <c r="G45" s="352">
        <f>E45*F45</f>
        <v>48</v>
      </c>
      <c r="H45" s="361"/>
    </row>
    <row r="46" spans="1:8" ht="13.5">
      <c r="A46" s="348"/>
      <c r="B46" s="349"/>
      <c r="C46" s="350" t="s">
        <v>40</v>
      </c>
      <c r="D46" s="351"/>
      <c r="E46" s="352">
        <v>2</v>
      </c>
      <c r="F46" s="352">
        <v>20</v>
      </c>
      <c r="G46" s="352">
        <f>E46*F46</f>
        <v>40</v>
      </c>
      <c r="H46" s="361"/>
    </row>
    <row r="47" spans="1:8" ht="13.5">
      <c r="A47" s="348"/>
      <c r="B47" s="349"/>
      <c r="C47" s="350" t="s">
        <v>41</v>
      </c>
      <c r="D47" s="351"/>
      <c r="E47" s="352">
        <v>4</v>
      </c>
      <c r="F47" s="352">
        <v>24</v>
      </c>
      <c r="G47" s="352">
        <f>E47*F47</f>
        <v>96</v>
      </c>
      <c r="H47" s="361"/>
    </row>
    <row r="48" spans="1:8" ht="13.5">
      <c r="A48" s="348"/>
      <c r="B48" s="349"/>
      <c r="C48" s="350" t="s">
        <v>65</v>
      </c>
      <c r="D48" s="351"/>
      <c r="E48" s="352">
        <v>0</v>
      </c>
      <c r="F48" s="352">
        <v>45</v>
      </c>
      <c r="G48" s="352">
        <f t="shared" si="1"/>
        <v>0</v>
      </c>
      <c r="H48" s="361"/>
    </row>
    <row r="49" spans="1:8" ht="13.5">
      <c r="A49" s="348"/>
      <c r="B49" s="349"/>
      <c r="C49" s="350" t="s">
        <v>44</v>
      </c>
      <c r="D49" s="351"/>
      <c r="E49" s="353">
        <v>2</v>
      </c>
      <c r="F49" s="352">
        <v>10</v>
      </c>
      <c r="G49" s="352">
        <f t="shared" si="1"/>
        <v>20</v>
      </c>
      <c r="H49" s="361"/>
    </row>
    <row r="50" spans="1:8" s="31" customFormat="1" ht="13.5">
      <c r="A50" s="348"/>
      <c r="B50" s="349"/>
      <c r="C50" s="350" t="s">
        <v>220</v>
      </c>
      <c r="D50" s="351"/>
      <c r="E50" s="352">
        <v>2</v>
      </c>
      <c r="F50" s="352">
        <v>40</v>
      </c>
      <c r="G50" s="362">
        <f>E50*F50</f>
        <v>80</v>
      </c>
      <c r="H50" s="361"/>
    </row>
    <row r="51" spans="1:8" ht="13.5">
      <c r="A51" s="348"/>
      <c r="B51" s="349"/>
      <c r="C51" s="350" t="s">
        <v>107</v>
      </c>
      <c r="D51" s="351"/>
      <c r="E51" s="352">
        <v>4</v>
      </c>
      <c r="F51" s="363">
        <v>10</v>
      </c>
      <c r="G51" s="362">
        <f>E51*F51</f>
        <v>40</v>
      </c>
      <c r="H51" s="361"/>
    </row>
    <row r="52" spans="1:8" s="17" customFormat="1" ht="11.45" customHeight="1">
      <c r="A52" s="23"/>
      <c r="B52" s="24"/>
      <c r="C52" s="30"/>
      <c r="D52" s="25"/>
      <c r="E52" s="26"/>
      <c r="F52" s="27" t="s">
        <v>15</v>
      </c>
      <c r="G52" s="28">
        <f>SUM(G33:G51)</f>
        <v>2759</v>
      </c>
      <c r="H52" s="29"/>
    </row>
    <row r="53" spans="1:8" s="17" customFormat="1" ht="11.25" customHeight="1">
      <c r="A53" s="273"/>
      <c r="B53" s="335"/>
      <c r="C53" s="275"/>
      <c r="D53" s="337"/>
      <c r="E53" s="276"/>
      <c r="F53" s="27" t="s">
        <v>16</v>
      </c>
      <c r="G53" s="277">
        <v>1.5</v>
      </c>
      <c r="H53" s="320"/>
    </row>
    <row r="54" spans="1:8" s="17" customFormat="1" ht="11.25" customHeight="1">
      <c r="A54" s="435"/>
      <c r="B54" s="436"/>
      <c r="C54" s="437"/>
      <c r="D54" s="438"/>
      <c r="E54" s="439"/>
      <c r="F54" s="27" t="s">
        <v>17</v>
      </c>
      <c r="G54" s="440">
        <f>G52*G53</f>
        <v>4138.5</v>
      </c>
      <c r="H54" s="441"/>
    </row>
    <row r="55" spans="1:8" s="17" customFormat="1" ht="13.5">
      <c r="A55" s="442" t="s">
        <v>48</v>
      </c>
      <c r="B55" s="443"/>
      <c r="C55" s="444"/>
      <c r="D55" s="445"/>
      <c r="E55" s="445"/>
      <c r="F55" s="446"/>
      <c r="G55" s="446"/>
      <c r="H55" s="447"/>
    </row>
    <row r="56" spans="1:8" s="17" customFormat="1" ht="13.5">
      <c r="A56" s="348"/>
      <c r="B56" s="349"/>
      <c r="C56" s="160" t="s">
        <v>49</v>
      </c>
      <c r="D56" s="155"/>
      <c r="E56" s="352">
        <v>1</v>
      </c>
      <c r="F56" s="158">
        <v>360</v>
      </c>
      <c r="G56" s="362">
        <f>E56*F56</f>
        <v>360</v>
      </c>
      <c r="H56" s="358"/>
    </row>
    <row r="57" spans="1:8" s="17" customFormat="1" ht="13.5">
      <c r="A57" s="348"/>
      <c r="B57" s="349"/>
      <c r="C57" s="160" t="s">
        <v>50</v>
      </c>
      <c r="D57" s="155"/>
      <c r="E57" s="352">
        <v>0</v>
      </c>
      <c r="F57" s="158">
        <v>60</v>
      </c>
      <c r="G57" s="362">
        <f>E57*F57</f>
        <v>0</v>
      </c>
      <c r="H57" s="358"/>
    </row>
    <row r="58" spans="1:8" s="17" customFormat="1" ht="13.5">
      <c r="A58" s="348"/>
      <c r="B58" s="349"/>
      <c r="C58" s="350" t="s">
        <v>51</v>
      </c>
      <c r="D58" s="155"/>
      <c r="E58" s="352">
        <v>2</v>
      </c>
      <c r="F58" s="363">
        <v>54</v>
      </c>
      <c r="G58" s="362">
        <f t="shared" ref="G58:G59" si="2">E58*F58</f>
        <v>108</v>
      </c>
      <c r="H58" s="451"/>
    </row>
    <row r="59" spans="1:8" s="17" customFormat="1" ht="13.5">
      <c r="A59" s="348"/>
      <c r="B59" s="349"/>
      <c r="C59" s="160" t="s">
        <v>188</v>
      </c>
      <c r="D59" s="155"/>
      <c r="E59" s="452">
        <v>0</v>
      </c>
      <c r="F59" s="611">
        <v>60</v>
      </c>
      <c r="G59" s="362">
        <f t="shared" si="2"/>
        <v>0</v>
      </c>
      <c r="H59" s="454"/>
    </row>
    <row r="60" spans="1:8" s="17" customFormat="1" ht="11.25" customHeight="1">
      <c r="A60" s="23"/>
      <c r="B60" s="24"/>
      <c r="C60" s="30"/>
      <c r="D60" s="32"/>
      <c r="E60" s="26"/>
      <c r="F60" s="27" t="s">
        <v>53</v>
      </c>
      <c r="G60" s="28">
        <f>SUM(G56:G59)</f>
        <v>468</v>
      </c>
      <c r="H60" s="29"/>
    </row>
    <row r="61" spans="1:8" s="17" customFormat="1" ht="11.25" customHeight="1">
      <c r="A61" s="23"/>
      <c r="B61" s="24"/>
      <c r="C61" s="275"/>
      <c r="D61" s="264"/>
      <c r="E61" s="276"/>
      <c r="F61" s="27" t="s">
        <v>16</v>
      </c>
      <c r="G61" s="277">
        <v>1.5</v>
      </c>
      <c r="H61" s="320"/>
    </row>
    <row r="62" spans="1:8" s="17" customFormat="1" ht="11.25" customHeight="1">
      <c r="A62" s="23"/>
      <c r="B62" s="33"/>
      <c r="C62" s="455"/>
      <c r="D62" s="456"/>
      <c r="E62" s="457"/>
      <c r="F62" s="27" t="s">
        <v>17</v>
      </c>
      <c r="G62" s="458">
        <f>G60*G61</f>
        <v>702</v>
      </c>
      <c r="H62" s="459"/>
    </row>
    <row r="63" spans="1:8" s="17" customFormat="1" ht="13.5">
      <c r="A63" s="442" t="s">
        <v>54</v>
      </c>
      <c r="B63" s="443"/>
      <c r="C63" s="444"/>
      <c r="D63" s="445"/>
      <c r="E63" s="445"/>
      <c r="F63" s="446"/>
      <c r="G63" s="446"/>
      <c r="H63" s="460"/>
    </row>
    <row r="64" spans="1:8" s="17" customFormat="1" ht="13.15" customHeight="1">
      <c r="A64" s="348"/>
      <c r="B64" s="349"/>
      <c r="C64" s="350" t="s">
        <v>55</v>
      </c>
      <c r="D64" s="155"/>
      <c r="E64" s="352">
        <v>1</v>
      </c>
      <c r="F64" s="158">
        <v>100</v>
      </c>
      <c r="G64" s="362">
        <f>E64*F64</f>
        <v>100</v>
      </c>
      <c r="H64" s="453" t="s">
        <v>221</v>
      </c>
    </row>
    <row r="65" spans="1:8" s="17" customFormat="1" ht="13.15" customHeight="1">
      <c r="A65" s="348"/>
      <c r="B65" s="349"/>
      <c r="C65" s="350" t="s">
        <v>56</v>
      </c>
      <c r="D65" s="155"/>
      <c r="E65" s="352">
        <v>1</v>
      </c>
      <c r="F65" s="158">
        <v>140</v>
      </c>
      <c r="G65" s="362">
        <f t="shared" ref="G65" si="3">E65*F65</f>
        <v>140</v>
      </c>
      <c r="H65" s="453"/>
    </row>
    <row r="66" spans="1:8" s="31" customFormat="1" ht="13.5">
      <c r="A66" s="348"/>
      <c r="B66" s="349"/>
      <c r="C66" s="160" t="s">
        <v>39</v>
      </c>
      <c r="D66" s="351"/>
      <c r="E66" s="352">
        <v>1</v>
      </c>
      <c r="F66" s="353">
        <v>240</v>
      </c>
      <c r="G66" s="362">
        <f>E66*F66</f>
        <v>240</v>
      </c>
      <c r="H66" s="361"/>
    </row>
    <row r="67" spans="1:8" s="17" customFormat="1" ht="11.25" customHeight="1">
      <c r="A67" s="23"/>
      <c r="B67" s="24"/>
      <c r="C67" s="30"/>
      <c r="D67" s="32"/>
      <c r="E67" s="26"/>
      <c r="F67" s="27" t="s">
        <v>53</v>
      </c>
      <c r="G67" s="28">
        <f>SUM(G64:G66)</f>
        <v>480</v>
      </c>
      <c r="H67" s="29"/>
    </row>
    <row r="68" spans="1:8" s="17" customFormat="1" ht="11.25" customHeight="1">
      <c r="A68" s="23"/>
      <c r="B68" s="24"/>
      <c r="C68" s="275"/>
      <c r="D68" s="264"/>
      <c r="E68" s="276"/>
      <c r="F68" s="27" t="s">
        <v>16</v>
      </c>
      <c r="G68" s="277">
        <v>1.4</v>
      </c>
      <c r="H68" s="320"/>
    </row>
    <row r="69" spans="1:8" s="17" customFormat="1" ht="11.25" customHeight="1">
      <c r="A69" s="23"/>
      <c r="B69" s="33"/>
      <c r="C69" s="455"/>
      <c r="D69" s="456"/>
      <c r="E69" s="457"/>
      <c r="F69" s="27" t="s">
        <v>17</v>
      </c>
      <c r="G69" s="458">
        <f>G67*G68</f>
        <v>672</v>
      </c>
      <c r="H69" s="459"/>
    </row>
    <row r="70" spans="1:8" s="17" customFormat="1" ht="11.25" customHeight="1">
      <c r="A70" s="442" t="s">
        <v>59</v>
      </c>
      <c r="B70" s="443"/>
      <c r="C70" s="444"/>
      <c r="D70" s="445"/>
      <c r="E70" s="445"/>
      <c r="F70" s="446"/>
      <c r="G70" s="446"/>
      <c r="H70" s="447"/>
    </row>
    <row r="71" spans="1:8" s="17" customFormat="1" ht="13.15" customHeight="1">
      <c r="A71" s="348"/>
      <c r="B71" s="349"/>
      <c r="C71" s="350" t="s">
        <v>60</v>
      </c>
      <c r="D71" s="155"/>
      <c r="E71" s="353">
        <v>1</v>
      </c>
      <c r="F71" s="158">
        <v>126</v>
      </c>
      <c r="G71" s="461">
        <f>E71*F71</f>
        <v>126</v>
      </c>
      <c r="H71" s="156" t="s">
        <v>111</v>
      </c>
    </row>
    <row r="72" spans="1:8" ht="13.5">
      <c r="A72" s="348"/>
      <c r="B72" s="349"/>
      <c r="C72" s="350" t="s">
        <v>61</v>
      </c>
      <c r="D72" s="155"/>
      <c r="E72" s="462">
        <v>1</v>
      </c>
      <c r="F72" s="462">
        <v>108</v>
      </c>
      <c r="G72" s="462">
        <f>F72*E72</f>
        <v>108</v>
      </c>
      <c r="H72" s="463" t="s">
        <v>112</v>
      </c>
    </row>
    <row r="73" spans="1:8" ht="11.25" customHeight="1">
      <c r="A73" s="23"/>
      <c r="B73" s="24"/>
      <c r="C73" s="34"/>
      <c r="D73" s="32"/>
      <c r="E73" s="26"/>
      <c r="F73" s="27" t="s">
        <v>53</v>
      </c>
      <c r="G73" s="28">
        <f>SUM(G71:G72)</f>
        <v>234</v>
      </c>
      <c r="H73" s="35"/>
    </row>
    <row r="74" spans="1:8" ht="11.25" customHeight="1">
      <c r="A74" s="273"/>
      <c r="B74" s="335"/>
      <c r="C74" s="275"/>
      <c r="D74" s="264"/>
      <c r="E74" s="276"/>
      <c r="F74" s="27" t="s">
        <v>16</v>
      </c>
      <c r="G74" s="277">
        <v>1.5</v>
      </c>
      <c r="H74" s="278"/>
    </row>
    <row r="75" spans="1:8" ht="11.25" customHeight="1" thickBot="1">
      <c r="A75" s="167"/>
      <c r="B75" s="168"/>
      <c r="C75" s="169"/>
      <c r="D75" s="464"/>
      <c r="E75" s="170"/>
      <c r="F75" s="171" t="s">
        <v>17</v>
      </c>
      <c r="G75" s="172">
        <f>G73*G74</f>
        <v>351</v>
      </c>
      <c r="H75" s="465"/>
    </row>
  </sheetData>
  <mergeCells count="1">
    <mergeCell ref="A1:H1"/>
  </mergeCells>
  <printOptions horizontalCentered="1"/>
  <pageMargins left="0.5" right="0.5" top="1.5" bottom="1.5" header="1.5" footer="1.5"/>
  <pageSetup scale="82" fitToHeight="0" orientation="portrait" r:id="rId1"/>
  <rowBreaks count="1" manualBreakCount="1">
    <brk id="54" max="2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B9F6-C293-4BC8-9B94-AB75FBCE0D5B}">
  <sheetPr>
    <tabColor theme="4" tint="0.39997558519241921"/>
    <pageSetUpPr fitToPage="1"/>
  </sheetPr>
  <dimension ref="A1:QM69"/>
  <sheetViews>
    <sheetView topLeftCell="D1" zoomScale="170" zoomScaleNormal="170" zoomScaleSheetLayoutView="100" workbookViewId="0">
      <selection activeCell="J12" sqref="J12"/>
    </sheetView>
  </sheetViews>
  <sheetFormatPr defaultColWidth="9.140625" defaultRowHeight="12.75"/>
  <cols>
    <col min="1" max="1" width="6.42578125" style="134" customWidth="1"/>
    <col min="2" max="2" width="7.85546875" style="109" customWidth="1"/>
    <col min="3" max="3" width="32.5703125" style="109" customWidth="1"/>
    <col min="4" max="4" width="8.5703125" style="109" customWidth="1"/>
    <col min="5" max="5" width="10.7109375" style="109" customWidth="1"/>
    <col min="6" max="7" width="10.7109375" style="135" customWidth="1"/>
    <col min="8" max="8" width="30.7109375" style="135" customWidth="1"/>
    <col min="9" max="16384" width="9.140625" style="109"/>
  </cols>
  <sheetData>
    <row r="1" spans="1:455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455" ht="18" customHeight="1">
      <c r="A2" s="110" t="s">
        <v>222</v>
      </c>
      <c r="B2" s="111"/>
      <c r="C2" s="112"/>
      <c r="D2" s="112"/>
      <c r="E2" s="112"/>
      <c r="F2" s="113"/>
      <c r="G2" s="113"/>
      <c r="H2" s="114"/>
    </row>
    <row r="3" spans="1:455" s="115" customFormat="1" ht="18" customHeight="1">
      <c r="A3" s="625"/>
      <c r="B3" s="626"/>
      <c r="C3" s="626"/>
      <c r="D3" s="626"/>
      <c r="E3" s="626"/>
      <c r="F3" s="626"/>
      <c r="G3" s="626"/>
      <c r="H3" s="627"/>
    </row>
    <row r="4" spans="1:455" s="122" customFormat="1" ht="11.25" customHeight="1">
      <c r="A4" s="116"/>
      <c r="B4" s="117"/>
      <c r="C4" s="118" t="s">
        <v>1</v>
      </c>
      <c r="D4" s="119">
        <f>SUM(G25,G38,G45,G61,G55,G67)</f>
        <v>5747</v>
      </c>
      <c r="E4" s="120"/>
      <c r="F4" s="120"/>
      <c r="G4" s="120"/>
      <c r="H4" s="121"/>
    </row>
    <row r="5" spans="1:455" s="122" customFormat="1" ht="11.25" customHeight="1">
      <c r="A5" s="628"/>
      <c r="B5" s="629"/>
      <c r="C5" s="630" t="s">
        <v>2</v>
      </c>
      <c r="D5" s="631">
        <v>1.35</v>
      </c>
      <c r="E5" s="632"/>
      <c r="F5" s="632"/>
      <c r="G5" s="633"/>
      <c r="H5" s="634"/>
    </row>
    <row r="6" spans="1:455" s="122" customFormat="1" ht="18.600000000000001" customHeight="1">
      <c r="A6" s="635"/>
      <c r="B6" s="636"/>
      <c r="C6" s="637" t="s">
        <v>3</v>
      </c>
      <c r="D6" s="119">
        <f>SUM(G27,G40,G47,G63,G57,G69)</f>
        <v>7758.45</v>
      </c>
      <c r="E6" s="632"/>
      <c r="F6" s="632"/>
      <c r="G6" s="638"/>
      <c r="H6" s="194"/>
    </row>
    <row r="7" spans="1:455" s="122" customFormat="1" ht="11.25" customHeight="1">
      <c r="A7" s="639"/>
      <c r="B7" s="640"/>
      <c r="C7" s="123"/>
      <c r="D7" s="641"/>
      <c r="E7" s="642"/>
      <c r="F7" s="643"/>
      <c r="G7" s="644"/>
      <c r="H7" s="195"/>
    </row>
    <row r="8" spans="1:455" s="122" customFormat="1" ht="12" customHeight="1">
      <c r="A8" s="645"/>
      <c r="B8" s="124"/>
      <c r="C8" s="124"/>
      <c r="D8" s="646"/>
      <c r="E8" s="647" t="s">
        <v>4</v>
      </c>
      <c r="F8" s="647" t="s">
        <v>5</v>
      </c>
      <c r="G8" s="647" t="s">
        <v>6</v>
      </c>
      <c r="H8" s="648" t="s">
        <v>7</v>
      </c>
    </row>
    <row r="9" spans="1:455" s="125" customFormat="1" ht="13.5">
      <c r="A9" s="649" t="s">
        <v>97</v>
      </c>
      <c r="B9" s="650"/>
      <c r="C9" s="651"/>
      <c r="D9" s="652"/>
      <c r="E9" s="652"/>
      <c r="F9" s="653"/>
      <c r="G9" s="653"/>
      <c r="H9" s="654"/>
    </row>
    <row r="10" spans="1:455" s="122" customFormat="1" ht="13.5">
      <c r="A10" s="655"/>
      <c r="B10" s="656"/>
      <c r="C10" s="657" t="s">
        <v>223</v>
      </c>
      <c r="D10" s="658"/>
      <c r="E10" s="514">
        <v>1</v>
      </c>
      <c r="F10" s="659">
        <v>120</v>
      </c>
      <c r="G10" s="514">
        <f t="shared" ref="G10:G24" si="0">E10*F10</f>
        <v>120</v>
      </c>
      <c r="H10" s="66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  <c r="DQ10" s="125"/>
      <c r="DR10" s="125"/>
      <c r="DS10" s="125"/>
      <c r="DT10" s="125"/>
      <c r="DU10" s="125"/>
      <c r="DV10" s="125"/>
      <c r="DW10" s="125"/>
      <c r="DX10" s="125"/>
      <c r="DY10" s="125"/>
      <c r="DZ10" s="125"/>
      <c r="EA10" s="125"/>
      <c r="EB10" s="125"/>
      <c r="EC10" s="125"/>
      <c r="ED10" s="125"/>
      <c r="EE10" s="125"/>
      <c r="EF10" s="125"/>
      <c r="EG10" s="125"/>
      <c r="EH10" s="125"/>
      <c r="EI10" s="125"/>
      <c r="EJ10" s="125"/>
      <c r="EK10" s="125"/>
      <c r="EL10" s="125"/>
      <c r="EM10" s="125"/>
      <c r="EN10" s="125"/>
      <c r="EO10" s="125"/>
      <c r="EP10" s="125"/>
      <c r="EQ10" s="125"/>
      <c r="ER10" s="125"/>
      <c r="ES10" s="125"/>
      <c r="ET10" s="125"/>
      <c r="EU10" s="125"/>
      <c r="EV10" s="125"/>
      <c r="EW10" s="125"/>
      <c r="EX10" s="125"/>
      <c r="EY10" s="125"/>
      <c r="EZ10" s="125"/>
      <c r="FA10" s="125"/>
      <c r="FB10" s="125"/>
      <c r="FC10" s="125"/>
      <c r="FD10" s="125"/>
      <c r="FE10" s="125"/>
      <c r="FF10" s="125"/>
      <c r="FG10" s="125"/>
      <c r="FH10" s="125"/>
      <c r="FI10" s="125"/>
      <c r="FJ10" s="125"/>
      <c r="FK10" s="125"/>
      <c r="FL10" s="125"/>
      <c r="FM10" s="125"/>
      <c r="FN10" s="125"/>
      <c r="FO10" s="125"/>
      <c r="FP10" s="125"/>
      <c r="FQ10" s="125"/>
      <c r="FR10" s="125"/>
      <c r="FS10" s="125"/>
      <c r="FT10" s="125"/>
      <c r="FU10" s="125"/>
      <c r="FV10" s="125"/>
      <c r="FW10" s="125"/>
      <c r="FX10" s="125"/>
      <c r="FY10" s="125"/>
      <c r="FZ10" s="125"/>
      <c r="GA10" s="125"/>
      <c r="GB10" s="125"/>
      <c r="GC10" s="125"/>
      <c r="GD10" s="125"/>
      <c r="GE10" s="125"/>
      <c r="GF10" s="125"/>
      <c r="GG10" s="125"/>
      <c r="GH10" s="125"/>
      <c r="GI10" s="125"/>
      <c r="GJ10" s="125"/>
      <c r="GK10" s="125"/>
      <c r="GL10" s="125"/>
      <c r="GM10" s="125"/>
      <c r="GN10" s="125"/>
      <c r="GO10" s="125"/>
      <c r="GP10" s="125"/>
      <c r="GQ10" s="125"/>
      <c r="GR10" s="125"/>
      <c r="GS10" s="125"/>
      <c r="GT10" s="125"/>
      <c r="GU10" s="125"/>
      <c r="GV10" s="125"/>
      <c r="GW10" s="125"/>
      <c r="GX10" s="125"/>
      <c r="GY10" s="125"/>
      <c r="GZ10" s="125"/>
      <c r="HA10" s="125"/>
      <c r="HB10" s="125"/>
      <c r="HC10" s="125"/>
      <c r="HD10" s="125"/>
      <c r="HE10" s="125"/>
      <c r="HF10" s="125"/>
      <c r="HG10" s="125"/>
      <c r="HH10" s="125"/>
      <c r="HI10" s="125"/>
      <c r="HJ10" s="125"/>
      <c r="HK10" s="125"/>
      <c r="HL10" s="125"/>
      <c r="HM10" s="125"/>
      <c r="HN10" s="125"/>
      <c r="HO10" s="125"/>
      <c r="HP10" s="125"/>
      <c r="HQ10" s="125"/>
      <c r="HR10" s="125"/>
      <c r="HS10" s="125"/>
      <c r="HT10" s="125"/>
      <c r="HU10" s="125"/>
      <c r="HV10" s="125"/>
      <c r="HW10" s="125"/>
      <c r="HX10" s="125"/>
      <c r="HY10" s="125"/>
      <c r="HZ10" s="125"/>
      <c r="IA10" s="125"/>
      <c r="IB10" s="125"/>
      <c r="IC10" s="125"/>
      <c r="ID10" s="125"/>
      <c r="IE10" s="125"/>
      <c r="IF10" s="125"/>
      <c r="IG10" s="125"/>
      <c r="IH10" s="125"/>
      <c r="II10" s="125"/>
      <c r="IJ10" s="125"/>
      <c r="IK10" s="125"/>
      <c r="IL10" s="125"/>
      <c r="IM10" s="125"/>
      <c r="IN10" s="125"/>
      <c r="IO10" s="125"/>
      <c r="IP10" s="125"/>
      <c r="IQ10" s="125"/>
      <c r="IR10" s="125"/>
      <c r="IS10" s="125"/>
      <c r="IT10" s="125"/>
      <c r="IU10" s="125"/>
      <c r="IV10" s="125"/>
      <c r="IW10" s="125"/>
      <c r="IX10" s="125"/>
      <c r="IY10" s="125"/>
      <c r="IZ10" s="125"/>
      <c r="JA10" s="125"/>
      <c r="JB10" s="125"/>
      <c r="JC10" s="125"/>
      <c r="JD10" s="125"/>
      <c r="JE10" s="125"/>
      <c r="JF10" s="125"/>
      <c r="JG10" s="125"/>
      <c r="JH10" s="125"/>
      <c r="JI10" s="125"/>
      <c r="JJ10" s="125"/>
      <c r="JK10" s="125"/>
      <c r="JL10" s="125"/>
      <c r="JM10" s="125"/>
      <c r="JN10" s="125"/>
      <c r="JO10" s="125"/>
      <c r="JP10" s="125"/>
      <c r="JQ10" s="125"/>
      <c r="JR10" s="125"/>
      <c r="JS10" s="125"/>
      <c r="JT10" s="125"/>
      <c r="JU10" s="125"/>
      <c r="JV10" s="125"/>
      <c r="JW10" s="125"/>
      <c r="JX10" s="125"/>
      <c r="JY10" s="125"/>
      <c r="JZ10" s="125"/>
      <c r="KA10" s="125"/>
      <c r="KB10" s="125"/>
      <c r="KC10" s="125"/>
      <c r="KD10" s="125"/>
      <c r="KE10" s="125"/>
      <c r="KF10" s="125"/>
      <c r="KG10" s="125"/>
      <c r="KH10" s="125"/>
      <c r="KI10" s="125"/>
      <c r="KJ10" s="125"/>
      <c r="KK10" s="125"/>
      <c r="KL10" s="125"/>
      <c r="KM10" s="125"/>
      <c r="KN10" s="125"/>
      <c r="KO10" s="125"/>
      <c r="KP10" s="125"/>
      <c r="KQ10" s="125"/>
      <c r="KR10" s="125"/>
      <c r="KS10" s="125"/>
      <c r="KT10" s="125"/>
      <c r="KU10" s="125"/>
      <c r="KV10" s="125"/>
      <c r="KW10" s="125"/>
      <c r="KX10" s="125"/>
      <c r="KY10" s="125"/>
      <c r="KZ10" s="125"/>
      <c r="LA10" s="125"/>
      <c r="LB10" s="125"/>
      <c r="LC10" s="125"/>
      <c r="LD10" s="125"/>
      <c r="LE10" s="125"/>
      <c r="LF10" s="125"/>
      <c r="LG10" s="125"/>
      <c r="LH10" s="125"/>
      <c r="LI10" s="125"/>
      <c r="LJ10" s="125"/>
      <c r="LK10" s="125"/>
      <c r="LL10" s="125"/>
      <c r="LM10" s="125"/>
      <c r="LN10" s="125"/>
      <c r="LO10" s="125"/>
      <c r="LP10" s="125"/>
      <c r="LQ10" s="125"/>
      <c r="LR10" s="125"/>
      <c r="LS10" s="125"/>
      <c r="LT10" s="125"/>
      <c r="LU10" s="125"/>
      <c r="LV10" s="125"/>
      <c r="LW10" s="125"/>
      <c r="LX10" s="125"/>
      <c r="LY10" s="125"/>
      <c r="LZ10" s="125"/>
      <c r="MA10" s="125"/>
      <c r="MB10" s="125"/>
      <c r="MC10" s="125"/>
      <c r="MD10" s="125"/>
      <c r="ME10" s="125"/>
      <c r="MF10" s="125"/>
      <c r="MG10" s="125"/>
      <c r="MH10" s="125"/>
      <c r="MI10" s="125"/>
      <c r="MJ10" s="125"/>
      <c r="MK10" s="125"/>
      <c r="ML10" s="125"/>
      <c r="MM10" s="125"/>
      <c r="MN10" s="125"/>
      <c r="MO10" s="125"/>
      <c r="MP10" s="125"/>
      <c r="MQ10" s="125"/>
      <c r="MR10" s="125"/>
      <c r="MS10" s="125"/>
      <c r="MT10" s="125"/>
      <c r="MU10" s="125"/>
      <c r="MV10" s="125"/>
      <c r="MW10" s="125"/>
      <c r="MX10" s="125"/>
      <c r="MY10" s="125"/>
      <c r="MZ10" s="125"/>
      <c r="NA10" s="125"/>
      <c r="NB10" s="125"/>
      <c r="NC10" s="125"/>
      <c r="ND10" s="125"/>
      <c r="NE10" s="125"/>
      <c r="NF10" s="125"/>
      <c r="NG10" s="125"/>
      <c r="NH10" s="125"/>
      <c r="NI10" s="125"/>
      <c r="NJ10" s="125"/>
      <c r="NK10" s="125"/>
      <c r="NL10" s="125"/>
      <c r="NM10" s="125"/>
      <c r="NN10" s="125"/>
      <c r="NO10" s="125"/>
      <c r="NP10" s="125"/>
      <c r="NQ10" s="125"/>
      <c r="NR10" s="125"/>
      <c r="NS10" s="125"/>
      <c r="NT10" s="125"/>
      <c r="NU10" s="125"/>
      <c r="NV10" s="125"/>
      <c r="NW10" s="125"/>
      <c r="NX10" s="125"/>
      <c r="NY10" s="125"/>
      <c r="NZ10" s="125"/>
      <c r="OA10" s="125"/>
      <c r="OB10" s="125"/>
      <c r="OC10" s="125"/>
      <c r="OD10" s="125"/>
      <c r="OE10" s="125"/>
      <c r="OF10" s="125"/>
      <c r="OG10" s="125"/>
      <c r="OH10" s="125"/>
      <c r="OI10" s="125"/>
      <c r="OJ10" s="125"/>
      <c r="OK10" s="125"/>
      <c r="OL10" s="125"/>
      <c r="OM10" s="125"/>
      <c r="ON10" s="125"/>
      <c r="OO10" s="125"/>
      <c r="OP10" s="125"/>
      <c r="OQ10" s="125"/>
      <c r="OR10" s="125"/>
      <c r="OS10" s="125"/>
      <c r="OT10" s="125"/>
      <c r="OU10" s="125"/>
      <c r="OV10" s="125"/>
      <c r="OW10" s="125"/>
      <c r="OX10" s="125"/>
      <c r="OY10" s="125"/>
      <c r="OZ10" s="125"/>
      <c r="PA10" s="125"/>
      <c r="PB10" s="125"/>
      <c r="PC10" s="125"/>
      <c r="PD10" s="125"/>
      <c r="PE10" s="125"/>
      <c r="PF10" s="125"/>
      <c r="PG10" s="125"/>
      <c r="PH10" s="125"/>
      <c r="PI10" s="125"/>
      <c r="PJ10" s="125"/>
      <c r="PK10" s="125"/>
      <c r="PL10" s="125"/>
      <c r="PM10" s="125"/>
      <c r="PN10" s="125"/>
      <c r="PO10" s="125"/>
      <c r="PP10" s="125"/>
      <c r="PQ10" s="125"/>
      <c r="PR10" s="125"/>
      <c r="PS10" s="125"/>
      <c r="PT10" s="125"/>
      <c r="PU10" s="125"/>
      <c r="PV10" s="125"/>
      <c r="PW10" s="125"/>
      <c r="PX10" s="125"/>
      <c r="PY10" s="125"/>
      <c r="PZ10" s="125"/>
      <c r="QA10" s="125"/>
      <c r="QB10" s="125"/>
      <c r="QC10" s="125"/>
      <c r="QD10" s="125"/>
      <c r="QE10" s="125"/>
      <c r="QF10" s="125"/>
      <c r="QG10" s="125"/>
      <c r="QH10" s="125"/>
      <c r="QI10" s="125"/>
      <c r="QJ10" s="125"/>
      <c r="QK10" s="125"/>
      <c r="QL10" s="125"/>
      <c r="QM10" s="125"/>
    </row>
    <row r="11" spans="1:455" s="122" customFormat="1" ht="13.5">
      <c r="A11" s="655"/>
      <c r="B11" s="656"/>
      <c r="C11" s="657" t="s">
        <v>224</v>
      </c>
      <c r="D11" s="658"/>
      <c r="E11" s="514">
        <v>0</v>
      </c>
      <c r="F11" s="659">
        <v>150</v>
      </c>
      <c r="G11" s="514">
        <f t="shared" si="0"/>
        <v>0</v>
      </c>
      <c r="H11" s="660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  <c r="CW11" s="125"/>
      <c r="CX11" s="125"/>
      <c r="CY11" s="125"/>
      <c r="CZ11" s="125"/>
      <c r="DA11" s="125"/>
      <c r="DB11" s="125"/>
      <c r="DC11" s="125"/>
      <c r="DD11" s="125"/>
      <c r="DE11" s="125"/>
      <c r="DF11" s="125"/>
      <c r="DG11" s="125"/>
      <c r="DH11" s="125"/>
      <c r="DI11" s="125"/>
      <c r="DJ11" s="125"/>
      <c r="DK11" s="125"/>
      <c r="DL11" s="125"/>
      <c r="DM11" s="125"/>
      <c r="DN11" s="125"/>
      <c r="DO11" s="125"/>
      <c r="DP11" s="125"/>
      <c r="DQ11" s="125"/>
      <c r="DR11" s="125"/>
      <c r="DS11" s="125"/>
      <c r="DT11" s="125"/>
      <c r="DU11" s="125"/>
      <c r="DV11" s="125"/>
      <c r="DW11" s="125"/>
      <c r="DX11" s="125"/>
      <c r="DY11" s="125"/>
      <c r="DZ11" s="125"/>
      <c r="EA11" s="125"/>
      <c r="EB11" s="125"/>
      <c r="EC11" s="125"/>
      <c r="ED11" s="125"/>
      <c r="EE11" s="125"/>
      <c r="EF11" s="125"/>
      <c r="EG11" s="125"/>
      <c r="EH11" s="125"/>
      <c r="EI11" s="125"/>
      <c r="EJ11" s="125"/>
      <c r="EK11" s="125"/>
      <c r="EL11" s="125"/>
      <c r="EM11" s="125"/>
      <c r="EN11" s="125"/>
      <c r="EO11" s="125"/>
      <c r="EP11" s="125"/>
      <c r="EQ11" s="125"/>
      <c r="ER11" s="125"/>
      <c r="ES11" s="125"/>
      <c r="ET11" s="125"/>
      <c r="EU11" s="125"/>
      <c r="EV11" s="125"/>
      <c r="EW11" s="125"/>
      <c r="EX11" s="125"/>
      <c r="EY11" s="125"/>
      <c r="EZ11" s="125"/>
      <c r="FA11" s="125"/>
      <c r="FB11" s="125"/>
      <c r="FC11" s="125"/>
      <c r="FD11" s="125"/>
      <c r="FE11" s="125"/>
      <c r="FF11" s="125"/>
      <c r="FG11" s="125"/>
      <c r="FH11" s="125"/>
      <c r="FI11" s="125"/>
      <c r="FJ11" s="125"/>
      <c r="FK11" s="125"/>
      <c r="FL11" s="125"/>
      <c r="FM11" s="125"/>
      <c r="FN11" s="125"/>
      <c r="FO11" s="125"/>
      <c r="FP11" s="125"/>
      <c r="FQ11" s="125"/>
      <c r="FR11" s="125"/>
      <c r="FS11" s="125"/>
      <c r="FT11" s="125"/>
      <c r="FU11" s="125"/>
      <c r="FV11" s="125"/>
      <c r="FW11" s="125"/>
      <c r="FX11" s="125"/>
      <c r="FY11" s="125"/>
      <c r="FZ11" s="125"/>
      <c r="GA11" s="125"/>
      <c r="GB11" s="125"/>
      <c r="GC11" s="125"/>
      <c r="GD11" s="125"/>
      <c r="GE11" s="125"/>
      <c r="GF11" s="125"/>
      <c r="GG11" s="125"/>
      <c r="GH11" s="125"/>
      <c r="GI11" s="125"/>
      <c r="GJ11" s="125"/>
      <c r="GK11" s="125"/>
      <c r="GL11" s="125"/>
      <c r="GM11" s="125"/>
      <c r="GN11" s="125"/>
      <c r="GO11" s="125"/>
      <c r="GP11" s="125"/>
      <c r="GQ11" s="125"/>
      <c r="GR11" s="125"/>
      <c r="GS11" s="125"/>
      <c r="GT11" s="125"/>
      <c r="GU11" s="125"/>
      <c r="GV11" s="125"/>
      <c r="GW11" s="125"/>
      <c r="GX11" s="125"/>
      <c r="GY11" s="125"/>
      <c r="GZ11" s="125"/>
      <c r="HA11" s="125"/>
      <c r="HB11" s="125"/>
      <c r="HC11" s="125"/>
      <c r="HD11" s="125"/>
      <c r="HE11" s="125"/>
      <c r="HF11" s="125"/>
      <c r="HG11" s="125"/>
      <c r="HH11" s="125"/>
      <c r="HI11" s="125"/>
      <c r="HJ11" s="125"/>
      <c r="HK11" s="125"/>
      <c r="HL11" s="125"/>
      <c r="HM11" s="125"/>
      <c r="HN11" s="125"/>
      <c r="HO11" s="125"/>
      <c r="HP11" s="125"/>
      <c r="HQ11" s="125"/>
      <c r="HR11" s="125"/>
      <c r="HS11" s="125"/>
      <c r="HT11" s="125"/>
      <c r="HU11" s="125"/>
      <c r="HV11" s="125"/>
      <c r="HW11" s="125"/>
      <c r="HX11" s="125"/>
      <c r="HY11" s="125"/>
      <c r="HZ11" s="125"/>
      <c r="IA11" s="125"/>
      <c r="IB11" s="125"/>
      <c r="IC11" s="125"/>
      <c r="ID11" s="125"/>
      <c r="IE11" s="125"/>
      <c r="IF11" s="125"/>
      <c r="IG11" s="125"/>
      <c r="IH11" s="125"/>
      <c r="II11" s="125"/>
      <c r="IJ11" s="125"/>
      <c r="IK11" s="125"/>
      <c r="IL11" s="125"/>
      <c r="IM11" s="125"/>
      <c r="IN11" s="125"/>
      <c r="IO11" s="125"/>
      <c r="IP11" s="125"/>
      <c r="IQ11" s="125"/>
      <c r="IR11" s="125"/>
      <c r="IS11" s="125"/>
      <c r="IT11" s="125"/>
      <c r="IU11" s="125"/>
      <c r="IV11" s="125"/>
      <c r="IW11" s="125"/>
      <c r="IX11" s="125"/>
      <c r="IY11" s="125"/>
      <c r="IZ11" s="125"/>
      <c r="JA11" s="125"/>
      <c r="JB11" s="125"/>
      <c r="JC11" s="125"/>
      <c r="JD11" s="125"/>
      <c r="JE11" s="125"/>
      <c r="JF11" s="125"/>
      <c r="JG11" s="125"/>
      <c r="JH11" s="125"/>
      <c r="JI11" s="125"/>
      <c r="JJ11" s="125"/>
      <c r="JK11" s="125"/>
      <c r="JL11" s="125"/>
      <c r="JM11" s="125"/>
      <c r="JN11" s="125"/>
      <c r="JO11" s="125"/>
      <c r="JP11" s="125"/>
      <c r="JQ11" s="125"/>
      <c r="JR11" s="125"/>
      <c r="JS11" s="125"/>
      <c r="JT11" s="125"/>
      <c r="JU11" s="125"/>
      <c r="JV11" s="125"/>
      <c r="JW11" s="125"/>
      <c r="JX11" s="125"/>
      <c r="JY11" s="125"/>
      <c r="JZ11" s="125"/>
      <c r="KA11" s="125"/>
      <c r="KB11" s="125"/>
      <c r="KC11" s="125"/>
      <c r="KD11" s="125"/>
      <c r="KE11" s="125"/>
      <c r="KF11" s="125"/>
      <c r="KG11" s="125"/>
      <c r="KH11" s="125"/>
      <c r="KI11" s="125"/>
      <c r="KJ11" s="125"/>
      <c r="KK11" s="125"/>
      <c r="KL11" s="125"/>
      <c r="KM11" s="125"/>
      <c r="KN11" s="125"/>
      <c r="KO11" s="125"/>
      <c r="KP11" s="125"/>
      <c r="KQ11" s="125"/>
      <c r="KR11" s="125"/>
      <c r="KS11" s="125"/>
      <c r="KT11" s="125"/>
      <c r="KU11" s="125"/>
      <c r="KV11" s="125"/>
      <c r="KW11" s="125"/>
      <c r="KX11" s="125"/>
      <c r="KY11" s="125"/>
      <c r="KZ11" s="125"/>
      <c r="LA11" s="125"/>
      <c r="LB11" s="125"/>
      <c r="LC11" s="125"/>
      <c r="LD11" s="125"/>
      <c r="LE11" s="125"/>
      <c r="LF11" s="125"/>
      <c r="LG11" s="125"/>
      <c r="LH11" s="125"/>
      <c r="LI11" s="125"/>
      <c r="LJ11" s="125"/>
      <c r="LK11" s="125"/>
      <c r="LL11" s="125"/>
      <c r="LM11" s="125"/>
      <c r="LN11" s="125"/>
      <c r="LO11" s="125"/>
      <c r="LP11" s="125"/>
      <c r="LQ11" s="125"/>
      <c r="LR11" s="125"/>
      <c r="LS11" s="125"/>
      <c r="LT11" s="125"/>
      <c r="LU11" s="125"/>
      <c r="LV11" s="125"/>
      <c r="LW11" s="125"/>
      <c r="LX11" s="125"/>
      <c r="LY11" s="125"/>
      <c r="LZ11" s="125"/>
      <c r="MA11" s="125"/>
      <c r="MB11" s="125"/>
      <c r="MC11" s="125"/>
      <c r="MD11" s="125"/>
      <c r="ME11" s="125"/>
      <c r="MF11" s="125"/>
      <c r="MG11" s="125"/>
      <c r="MH11" s="125"/>
      <c r="MI11" s="125"/>
      <c r="MJ11" s="125"/>
      <c r="MK11" s="125"/>
      <c r="ML11" s="125"/>
      <c r="MM11" s="125"/>
      <c r="MN11" s="125"/>
      <c r="MO11" s="125"/>
      <c r="MP11" s="125"/>
      <c r="MQ11" s="125"/>
      <c r="MR11" s="125"/>
      <c r="MS11" s="125"/>
      <c r="MT11" s="125"/>
      <c r="MU11" s="125"/>
      <c r="MV11" s="125"/>
      <c r="MW11" s="125"/>
      <c r="MX11" s="125"/>
      <c r="MY11" s="125"/>
      <c r="MZ11" s="125"/>
      <c r="NA11" s="125"/>
      <c r="NB11" s="125"/>
      <c r="NC11" s="125"/>
      <c r="ND11" s="125"/>
      <c r="NE11" s="125"/>
      <c r="NF11" s="125"/>
      <c r="NG11" s="125"/>
      <c r="NH11" s="125"/>
      <c r="NI11" s="125"/>
      <c r="NJ11" s="125"/>
      <c r="NK11" s="125"/>
      <c r="NL11" s="125"/>
      <c r="NM11" s="125"/>
      <c r="NN11" s="125"/>
      <c r="NO11" s="125"/>
      <c r="NP11" s="125"/>
      <c r="NQ11" s="125"/>
      <c r="NR11" s="125"/>
      <c r="NS11" s="125"/>
      <c r="NT11" s="125"/>
      <c r="NU11" s="125"/>
      <c r="NV11" s="125"/>
      <c r="NW11" s="125"/>
      <c r="NX11" s="125"/>
      <c r="NY11" s="125"/>
      <c r="NZ11" s="125"/>
      <c r="OA11" s="125"/>
      <c r="OB11" s="125"/>
      <c r="OC11" s="125"/>
      <c r="OD11" s="125"/>
      <c r="OE11" s="125"/>
      <c r="OF11" s="125"/>
      <c r="OG11" s="125"/>
      <c r="OH11" s="125"/>
      <c r="OI11" s="125"/>
      <c r="OJ11" s="125"/>
      <c r="OK11" s="125"/>
      <c r="OL11" s="125"/>
      <c r="OM11" s="125"/>
      <c r="ON11" s="125"/>
      <c r="OO11" s="125"/>
      <c r="OP11" s="125"/>
      <c r="OQ11" s="125"/>
      <c r="OR11" s="125"/>
      <c r="OS11" s="125"/>
      <c r="OT11" s="125"/>
      <c r="OU11" s="125"/>
      <c r="OV11" s="125"/>
      <c r="OW11" s="125"/>
      <c r="OX11" s="125"/>
      <c r="OY11" s="125"/>
      <c r="OZ11" s="125"/>
      <c r="PA11" s="125"/>
      <c r="PB11" s="125"/>
      <c r="PC11" s="125"/>
      <c r="PD11" s="125"/>
      <c r="PE11" s="125"/>
      <c r="PF11" s="125"/>
      <c r="PG11" s="125"/>
      <c r="PH11" s="125"/>
      <c r="PI11" s="125"/>
      <c r="PJ11" s="125"/>
      <c r="PK11" s="125"/>
      <c r="PL11" s="125"/>
      <c r="PM11" s="125"/>
      <c r="PN11" s="125"/>
      <c r="PO11" s="125"/>
      <c r="PP11" s="125"/>
      <c r="PQ11" s="125"/>
      <c r="PR11" s="125"/>
      <c r="PS11" s="125"/>
      <c r="PT11" s="125"/>
      <c r="PU11" s="125"/>
      <c r="PV11" s="125"/>
      <c r="PW11" s="125"/>
      <c r="PX11" s="125"/>
      <c r="PY11" s="125"/>
      <c r="PZ11" s="125"/>
      <c r="QA11" s="125"/>
      <c r="QB11" s="125"/>
      <c r="QC11" s="125"/>
      <c r="QD11" s="125"/>
      <c r="QE11" s="125"/>
      <c r="QF11" s="125"/>
      <c r="QG11" s="125"/>
      <c r="QH11" s="125"/>
      <c r="QI11" s="125"/>
      <c r="QJ11" s="125"/>
      <c r="QK11" s="125"/>
      <c r="QL11" s="125"/>
      <c r="QM11" s="125"/>
    </row>
    <row r="12" spans="1:455" s="122" customFormat="1" ht="13.5">
      <c r="A12" s="655"/>
      <c r="B12" s="656"/>
      <c r="C12" s="657" t="s">
        <v>225</v>
      </c>
      <c r="D12" s="658"/>
      <c r="E12" s="514">
        <v>1</v>
      </c>
      <c r="F12" s="659">
        <v>160</v>
      </c>
      <c r="G12" s="514">
        <f t="shared" si="0"/>
        <v>160</v>
      </c>
      <c r="H12" s="660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5"/>
      <c r="CZ12" s="125"/>
      <c r="DA12" s="125"/>
      <c r="DB12" s="125"/>
      <c r="DC12" s="125"/>
      <c r="DD12" s="125"/>
      <c r="DE12" s="125"/>
      <c r="DF12" s="125"/>
      <c r="DG12" s="125"/>
      <c r="DH12" s="125"/>
      <c r="DI12" s="125"/>
      <c r="DJ12" s="125"/>
      <c r="DK12" s="125"/>
      <c r="DL12" s="125"/>
      <c r="DM12" s="125"/>
      <c r="DN12" s="125"/>
      <c r="DO12" s="125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25"/>
      <c r="FV12" s="125"/>
      <c r="FW12" s="125"/>
      <c r="FX12" s="125"/>
      <c r="FY12" s="125"/>
      <c r="FZ12" s="125"/>
      <c r="GA12" s="125"/>
      <c r="GB12" s="125"/>
      <c r="GC12" s="125"/>
      <c r="GD12" s="125"/>
      <c r="GE12" s="125"/>
      <c r="GF12" s="125"/>
      <c r="GG12" s="125"/>
      <c r="GH12" s="125"/>
      <c r="GI12" s="125"/>
      <c r="GJ12" s="125"/>
      <c r="GK12" s="125"/>
      <c r="GL12" s="125"/>
      <c r="GM12" s="125"/>
      <c r="GN12" s="125"/>
      <c r="GO12" s="125"/>
      <c r="GP12" s="125"/>
      <c r="GQ12" s="125"/>
      <c r="GR12" s="125"/>
      <c r="GS12" s="125"/>
      <c r="GT12" s="125"/>
      <c r="GU12" s="125"/>
      <c r="GV12" s="125"/>
      <c r="GW12" s="125"/>
      <c r="GX12" s="125"/>
      <c r="GY12" s="125"/>
      <c r="GZ12" s="125"/>
      <c r="HA12" s="125"/>
      <c r="HB12" s="125"/>
      <c r="HC12" s="125"/>
      <c r="HD12" s="125"/>
      <c r="HE12" s="125"/>
      <c r="HF12" s="125"/>
      <c r="HG12" s="125"/>
      <c r="HH12" s="125"/>
      <c r="HI12" s="125"/>
      <c r="HJ12" s="125"/>
      <c r="HK12" s="125"/>
      <c r="HL12" s="125"/>
      <c r="HM12" s="125"/>
      <c r="HN12" s="125"/>
      <c r="HO12" s="125"/>
      <c r="HP12" s="125"/>
      <c r="HQ12" s="125"/>
      <c r="HR12" s="125"/>
      <c r="HS12" s="125"/>
      <c r="HT12" s="125"/>
      <c r="HU12" s="125"/>
      <c r="HV12" s="125"/>
      <c r="HW12" s="125"/>
      <c r="HX12" s="125"/>
      <c r="HY12" s="125"/>
      <c r="HZ12" s="125"/>
      <c r="IA12" s="125"/>
      <c r="IB12" s="125"/>
      <c r="IC12" s="125"/>
      <c r="ID12" s="125"/>
      <c r="IE12" s="125"/>
      <c r="IF12" s="125"/>
      <c r="IG12" s="125"/>
      <c r="IH12" s="125"/>
      <c r="II12" s="125"/>
      <c r="IJ12" s="125"/>
      <c r="IK12" s="125"/>
      <c r="IL12" s="125"/>
      <c r="IM12" s="125"/>
      <c r="IN12" s="125"/>
      <c r="IO12" s="125"/>
      <c r="IP12" s="125"/>
      <c r="IQ12" s="125"/>
      <c r="IR12" s="125"/>
      <c r="IS12" s="125"/>
      <c r="IT12" s="125"/>
      <c r="IU12" s="125"/>
      <c r="IV12" s="125"/>
      <c r="IW12" s="125"/>
      <c r="IX12" s="125"/>
      <c r="IY12" s="125"/>
      <c r="IZ12" s="125"/>
      <c r="JA12" s="125"/>
      <c r="JB12" s="125"/>
      <c r="JC12" s="125"/>
      <c r="JD12" s="125"/>
      <c r="JE12" s="125"/>
      <c r="JF12" s="125"/>
      <c r="JG12" s="125"/>
      <c r="JH12" s="125"/>
      <c r="JI12" s="125"/>
      <c r="JJ12" s="125"/>
      <c r="JK12" s="125"/>
      <c r="JL12" s="125"/>
      <c r="JM12" s="125"/>
      <c r="JN12" s="125"/>
      <c r="JO12" s="125"/>
      <c r="JP12" s="125"/>
      <c r="JQ12" s="125"/>
      <c r="JR12" s="125"/>
      <c r="JS12" s="125"/>
      <c r="JT12" s="125"/>
      <c r="JU12" s="125"/>
      <c r="JV12" s="125"/>
      <c r="JW12" s="125"/>
      <c r="JX12" s="125"/>
      <c r="JY12" s="125"/>
      <c r="JZ12" s="125"/>
      <c r="KA12" s="125"/>
      <c r="KB12" s="125"/>
      <c r="KC12" s="125"/>
      <c r="KD12" s="125"/>
      <c r="KE12" s="125"/>
      <c r="KF12" s="125"/>
      <c r="KG12" s="125"/>
      <c r="KH12" s="125"/>
      <c r="KI12" s="125"/>
      <c r="KJ12" s="125"/>
      <c r="KK12" s="125"/>
      <c r="KL12" s="125"/>
      <c r="KM12" s="125"/>
      <c r="KN12" s="125"/>
      <c r="KO12" s="125"/>
      <c r="KP12" s="125"/>
      <c r="KQ12" s="125"/>
      <c r="KR12" s="125"/>
      <c r="KS12" s="125"/>
      <c r="KT12" s="125"/>
      <c r="KU12" s="125"/>
      <c r="KV12" s="125"/>
      <c r="KW12" s="125"/>
      <c r="KX12" s="125"/>
      <c r="KY12" s="125"/>
      <c r="KZ12" s="125"/>
      <c r="LA12" s="125"/>
      <c r="LB12" s="125"/>
      <c r="LC12" s="125"/>
      <c r="LD12" s="125"/>
      <c r="LE12" s="125"/>
      <c r="LF12" s="125"/>
      <c r="LG12" s="125"/>
      <c r="LH12" s="125"/>
      <c r="LI12" s="125"/>
      <c r="LJ12" s="125"/>
      <c r="LK12" s="125"/>
      <c r="LL12" s="125"/>
      <c r="LM12" s="125"/>
      <c r="LN12" s="125"/>
      <c r="LO12" s="125"/>
      <c r="LP12" s="125"/>
      <c r="LQ12" s="125"/>
      <c r="LR12" s="125"/>
      <c r="LS12" s="125"/>
      <c r="LT12" s="125"/>
      <c r="LU12" s="125"/>
      <c r="LV12" s="125"/>
      <c r="LW12" s="125"/>
      <c r="LX12" s="125"/>
      <c r="LY12" s="125"/>
      <c r="LZ12" s="125"/>
      <c r="MA12" s="125"/>
      <c r="MB12" s="125"/>
      <c r="MC12" s="125"/>
      <c r="MD12" s="125"/>
      <c r="ME12" s="125"/>
      <c r="MF12" s="125"/>
      <c r="MG12" s="125"/>
      <c r="MH12" s="125"/>
      <c r="MI12" s="125"/>
      <c r="MJ12" s="125"/>
      <c r="MK12" s="125"/>
      <c r="ML12" s="125"/>
      <c r="MM12" s="125"/>
      <c r="MN12" s="125"/>
      <c r="MO12" s="125"/>
      <c r="MP12" s="125"/>
      <c r="MQ12" s="125"/>
      <c r="MR12" s="125"/>
      <c r="MS12" s="125"/>
      <c r="MT12" s="125"/>
      <c r="MU12" s="125"/>
      <c r="MV12" s="125"/>
      <c r="MW12" s="125"/>
      <c r="MX12" s="125"/>
      <c r="MY12" s="125"/>
      <c r="MZ12" s="125"/>
      <c r="NA12" s="125"/>
      <c r="NB12" s="125"/>
      <c r="NC12" s="125"/>
      <c r="ND12" s="125"/>
      <c r="NE12" s="125"/>
      <c r="NF12" s="125"/>
      <c r="NG12" s="125"/>
      <c r="NH12" s="125"/>
      <c r="NI12" s="125"/>
      <c r="NJ12" s="125"/>
      <c r="NK12" s="125"/>
      <c r="NL12" s="125"/>
      <c r="NM12" s="125"/>
      <c r="NN12" s="125"/>
      <c r="NO12" s="125"/>
      <c r="NP12" s="125"/>
      <c r="NQ12" s="125"/>
      <c r="NR12" s="125"/>
      <c r="NS12" s="125"/>
      <c r="NT12" s="125"/>
      <c r="NU12" s="125"/>
      <c r="NV12" s="125"/>
      <c r="NW12" s="125"/>
      <c r="NX12" s="125"/>
      <c r="NY12" s="125"/>
      <c r="NZ12" s="125"/>
      <c r="OA12" s="125"/>
      <c r="OB12" s="125"/>
      <c r="OC12" s="125"/>
      <c r="OD12" s="125"/>
      <c r="OE12" s="125"/>
      <c r="OF12" s="125"/>
      <c r="OG12" s="125"/>
      <c r="OH12" s="125"/>
      <c r="OI12" s="125"/>
      <c r="OJ12" s="125"/>
      <c r="OK12" s="125"/>
      <c r="OL12" s="125"/>
      <c r="OM12" s="125"/>
      <c r="ON12" s="125"/>
      <c r="OO12" s="125"/>
      <c r="OP12" s="125"/>
      <c r="OQ12" s="125"/>
      <c r="OR12" s="125"/>
      <c r="OS12" s="125"/>
      <c r="OT12" s="125"/>
      <c r="OU12" s="125"/>
      <c r="OV12" s="125"/>
      <c r="OW12" s="125"/>
      <c r="OX12" s="125"/>
      <c r="OY12" s="125"/>
      <c r="OZ12" s="125"/>
      <c r="PA12" s="125"/>
      <c r="PB12" s="125"/>
      <c r="PC12" s="125"/>
      <c r="PD12" s="125"/>
      <c r="PE12" s="125"/>
      <c r="PF12" s="125"/>
      <c r="PG12" s="125"/>
      <c r="PH12" s="125"/>
      <c r="PI12" s="125"/>
      <c r="PJ12" s="125"/>
      <c r="PK12" s="125"/>
      <c r="PL12" s="125"/>
      <c r="PM12" s="125"/>
      <c r="PN12" s="125"/>
      <c r="PO12" s="125"/>
      <c r="PP12" s="125"/>
      <c r="PQ12" s="125"/>
      <c r="PR12" s="125"/>
      <c r="PS12" s="125"/>
      <c r="PT12" s="125"/>
      <c r="PU12" s="125"/>
      <c r="PV12" s="125"/>
      <c r="PW12" s="125"/>
      <c r="PX12" s="125"/>
      <c r="PY12" s="125"/>
      <c r="PZ12" s="125"/>
      <c r="QA12" s="125"/>
      <c r="QB12" s="125"/>
      <c r="QC12" s="125"/>
      <c r="QD12" s="125"/>
      <c r="QE12" s="125"/>
      <c r="QF12" s="125"/>
      <c r="QG12" s="125"/>
      <c r="QH12" s="125"/>
      <c r="QI12" s="125"/>
      <c r="QJ12" s="125"/>
      <c r="QK12" s="125"/>
      <c r="QL12" s="125"/>
      <c r="QM12" s="125"/>
    </row>
    <row r="13" spans="1:455" s="122" customFormat="1" ht="13.5">
      <c r="A13" s="655"/>
      <c r="B13" s="656"/>
      <c r="C13" s="657" t="s">
        <v>226</v>
      </c>
      <c r="D13" s="658"/>
      <c r="E13" s="514">
        <v>1</v>
      </c>
      <c r="F13" s="659">
        <v>40</v>
      </c>
      <c r="G13" s="514">
        <f t="shared" si="0"/>
        <v>40</v>
      </c>
      <c r="H13" s="660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  <c r="DG13" s="125"/>
      <c r="DH13" s="125"/>
      <c r="DI13" s="125"/>
      <c r="DJ13" s="125"/>
      <c r="DK13" s="125"/>
      <c r="DL13" s="125"/>
      <c r="DM13" s="125"/>
      <c r="DN13" s="125"/>
      <c r="DO13" s="125"/>
      <c r="DP13" s="125"/>
      <c r="DQ13" s="125"/>
      <c r="DR13" s="125"/>
      <c r="DS13" s="125"/>
      <c r="DT13" s="125"/>
      <c r="DU13" s="125"/>
      <c r="DV13" s="125"/>
      <c r="DW13" s="125"/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25"/>
      <c r="FV13" s="125"/>
      <c r="FW13" s="125"/>
      <c r="FX13" s="125"/>
      <c r="FY13" s="125"/>
      <c r="FZ13" s="125"/>
      <c r="GA13" s="125"/>
      <c r="GB13" s="125"/>
      <c r="GC13" s="125"/>
      <c r="GD13" s="125"/>
      <c r="GE13" s="125"/>
      <c r="GF13" s="125"/>
      <c r="GG13" s="125"/>
      <c r="GH13" s="125"/>
      <c r="GI13" s="125"/>
      <c r="GJ13" s="125"/>
      <c r="GK13" s="125"/>
      <c r="GL13" s="125"/>
      <c r="GM13" s="125"/>
      <c r="GN13" s="125"/>
      <c r="GO13" s="125"/>
      <c r="GP13" s="125"/>
      <c r="GQ13" s="125"/>
      <c r="GR13" s="125"/>
      <c r="GS13" s="125"/>
      <c r="GT13" s="125"/>
      <c r="GU13" s="125"/>
      <c r="GV13" s="125"/>
      <c r="GW13" s="125"/>
      <c r="GX13" s="125"/>
      <c r="GY13" s="125"/>
      <c r="GZ13" s="125"/>
      <c r="HA13" s="125"/>
      <c r="HB13" s="125"/>
      <c r="HC13" s="125"/>
      <c r="HD13" s="125"/>
      <c r="HE13" s="125"/>
      <c r="HF13" s="125"/>
      <c r="HG13" s="125"/>
      <c r="HH13" s="125"/>
      <c r="HI13" s="125"/>
      <c r="HJ13" s="125"/>
      <c r="HK13" s="125"/>
      <c r="HL13" s="125"/>
      <c r="HM13" s="125"/>
      <c r="HN13" s="125"/>
      <c r="HO13" s="125"/>
      <c r="HP13" s="125"/>
      <c r="HQ13" s="125"/>
      <c r="HR13" s="125"/>
      <c r="HS13" s="125"/>
      <c r="HT13" s="125"/>
      <c r="HU13" s="125"/>
      <c r="HV13" s="125"/>
      <c r="HW13" s="125"/>
      <c r="HX13" s="125"/>
      <c r="HY13" s="125"/>
      <c r="HZ13" s="125"/>
      <c r="IA13" s="125"/>
      <c r="IB13" s="125"/>
      <c r="IC13" s="125"/>
      <c r="ID13" s="125"/>
      <c r="IE13" s="125"/>
      <c r="IF13" s="125"/>
      <c r="IG13" s="125"/>
      <c r="IH13" s="125"/>
      <c r="II13" s="125"/>
      <c r="IJ13" s="125"/>
      <c r="IK13" s="125"/>
      <c r="IL13" s="125"/>
      <c r="IM13" s="125"/>
      <c r="IN13" s="125"/>
      <c r="IO13" s="125"/>
      <c r="IP13" s="125"/>
      <c r="IQ13" s="125"/>
      <c r="IR13" s="125"/>
      <c r="IS13" s="125"/>
      <c r="IT13" s="125"/>
      <c r="IU13" s="125"/>
      <c r="IV13" s="125"/>
      <c r="IW13" s="125"/>
      <c r="IX13" s="125"/>
      <c r="IY13" s="125"/>
      <c r="IZ13" s="125"/>
      <c r="JA13" s="125"/>
      <c r="JB13" s="125"/>
      <c r="JC13" s="125"/>
      <c r="JD13" s="125"/>
      <c r="JE13" s="125"/>
      <c r="JF13" s="125"/>
      <c r="JG13" s="125"/>
      <c r="JH13" s="125"/>
      <c r="JI13" s="125"/>
      <c r="JJ13" s="125"/>
      <c r="JK13" s="125"/>
      <c r="JL13" s="125"/>
      <c r="JM13" s="125"/>
      <c r="JN13" s="125"/>
      <c r="JO13" s="125"/>
      <c r="JP13" s="125"/>
      <c r="JQ13" s="125"/>
      <c r="JR13" s="125"/>
      <c r="JS13" s="125"/>
      <c r="JT13" s="125"/>
      <c r="JU13" s="125"/>
      <c r="JV13" s="125"/>
      <c r="JW13" s="125"/>
      <c r="JX13" s="125"/>
      <c r="JY13" s="125"/>
      <c r="JZ13" s="125"/>
      <c r="KA13" s="125"/>
      <c r="KB13" s="125"/>
      <c r="KC13" s="125"/>
      <c r="KD13" s="125"/>
      <c r="KE13" s="125"/>
      <c r="KF13" s="125"/>
      <c r="KG13" s="125"/>
      <c r="KH13" s="125"/>
      <c r="KI13" s="125"/>
      <c r="KJ13" s="125"/>
      <c r="KK13" s="125"/>
      <c r="KL13" s="125"/>
      <c r="KM13" s="125"/>
      <c r="KN13" s="125"/>
      <c r="KO13" s="125"/>
      <c r="KP13" s="125"/>
      <c r="KQ13" s="125"/>
      <c r="KR13" s="125"/>
      <c r="KS13" s="125"/>
      <c r="KT13" s="125"/>
      <c r="KU13" s="125"/>
      <c r="KV13" s="125"/>
      <c r="KW13" s="125"/>
      <c r="KX13" s="125"/>
      <c r="KY13" s="125"/>
      <c r="KZ13" s="125"/>
      <c r="LA13" s="125"/>
      <c r="LB13" s="125"/>
      <c r="LC13" s="125"/>
      <c r="LD13" s="125"/>
      <c r="LE13" s="125"/>
      <c r="LF13" s="125"/>
      <c r="LG13" s="125"/>
      <c r="LH13" s="125"/>
      <c r="LI13" s="125"/>
      <c r="LJ13" s="125"/>
      <c r="LK13" s="125"/>
      <c r="LL13" s="125"/>
      <c r="LM13" s="125"/>
      <c r="LN13" s="125"/>
      <c r="LO13" s="125"/>
      <c r="LP13" s="125"/>
      <c r="LQ13" s="125"/>
      <c r="LR13" s="125"/>
      <c r="LS13" s="125"/>
      <c r="LT13" s="125"/>
      <c r="LU13" s="125"/>
      <c r="LV13" s="125"/>
      <c r="LW13" s="125"/>
      <c r="LX13" s="125"/>
      <c r="LY13" s="125"/>
      <c r="LZ13" s="125"/>
      <c r="MA13" s="125"/>
      <c r="MB13" s="125"/>
      <c r="MC13" s="125"/>
      <c r="MD13" s="125"/>
      <c r="ME13" s="125"/>
      <c r="MF13" s="125"/>
      <c r="MG13" s="125"/>
      <c r="MH13" s="125"/>
      <c r="MI13" s="125"/>
      <c r="MJ13" s="125"/>
      <c r="MK13" s="125"/>
      <c r="ML13" s="125"/>
      <c r="MM13" s="125"/>
      <c r="MN13" s="125"/>
      <c r="MO13" s="125"/>
      <c r="MP13" s="125"/>
      <c r="MQ13" s="125"/>
      <c r="MR13" s="125"/>
      <c r="MS13" s="125"/>
      <c r="MT13" s="125"/>
      <c r="MU13" s="125"/>
      <c r="MV13" s="125"/>
      <c r="MW13" s="125"/>
      <c r="MX13" s="125"/>
      <c r="MY13" s="125"/>
      <c r="MZ13" s="125"/>
      <c r="NA13" s="125"/>
      <c r="NB13" s="125"/>
      <c r="NC13" s="125"/>
      <c r="ND13" s="125"/>
      <c r="NE13" s="125"/>
      <c r="NF13" s="125"/>
      <c r="NG13" s="125"/>
      <c r="NH13" s="125"/>
      <c r="NI13" s="125"/>
      <c r="NJ13" s="125"/>
      <c r="NK13" s="125"/>
      <c r="NL13" s="125"/>
      <c r="NM13" s="125"/>
      <c r="NN13" s="125"/>
      <c r="NO13" s="125"/>
      <c r="NP13" s="125"/>
      <c r="NQ13" s="125"/>
      <c r="NR13" s="125"/>
      <c r="NS13" s="125"/>
      <c r="NT13" s="125"/>
      <c r="NU13" s="125"/>
      <c r="NV13" s="125"/>
      <c r="NW13" s="125"/>
      <c r="NX13" s="125"/>
      <c r="NY13" s="125"/>
      <c r="NZ13" s="125"/>
      <c r="OA13" s="125"/>
      <c r="OB13" s="125"/>
      <c r="OC13" s="125"/>
      <c r="OD13" s="125"/>
      <c r="OE13" s="125"/>
      <c r="OF13" s="125"/>
      <c r="OG13" s="125"/>
      <c r="OH13" s="125"/>
      <c r="OI13" s="125"/>
      <c r="OJ13" s="125"/>
      <c r="OK13" s="125"/>
      <c r="OL13" s="125"/>
      <c r="OM13" s="125"/>
      <c r="ON13" s="125"/>
      <c r="OO13" s="125"/>
      <c r="OP13" s="125"/>
      <c r="OQ13" s="125"/>
      <c r="OR13" s="125"/>
      <c r="OS13" s="125"/>
      <c r="OT13" s="125"/>
      <c r="OU13" s="125"/>
      <c r="OV13" s="125"/>
      <c r="OW13" s="125"/>
      <c r="OX13" s="125"/>
      <c r="OY13" s="125"/>
      <c r="OZ13" s="125"/>
      <c r="PA13" s="125"/>
      <c r="PB13" s="125"/>
      <c r="PC13" s="125"/>
      <c r="PD13" s="125"/>
      <c r="PE13" s="125"/>
      <c r="PF13" s="125"/>
      <c r="PG13" s="125"/>
      <c r="PH13" s="125"/>
      <c r="PI13" s="125"/>
      <c r="PJ13" s="125"/>
      <c r="PK13" s="125"/>
      <c r="PL13" s="125"/>
      <c r="PM13" s="125"/>
      <c r="PN13" s="125"/>
      <c r="PO13" s="125"/>
      <c r="PP13" s="125"/>
      <c r="PQ13" s="125"/>
      <c r="PR13" s="125"/>
      <c r="PS13" s="125"/>
      <c r="PT13" s="125"/>
      <c r="PU13" s="125"/>
      <c r="PV13" s="125"/>
      <c r="PW13" s="125"/>
      <c r="PX13" s="125"/>
      <c r="PY13" s="125"/>
      <c r="PZ13" s="125"/>
      <c r="QA13" s="125"/>
      <c r="QB13" s="125"/>
      <c r="QC13" s="125"/>
      <c r="QD13" s="125"/>
      <c r="QE13" s="125"/>
      <c r="QF13" s="125"/>
      <c r="QG13" s="125"/>
      <c r="QH13" s="125"/>
      <c r="QI13" s="125"/>
      <c r="QJ13" s="125"/>
      <c r="QK13" s="125"/>
      <c r="QL13" s="125"/>
      <c r="QM13" s="125"/>
    </row>
    <row r="14" spans="1:455" s="126" customFormat="1" ht="13.5">
      <c r="A14" s="655"/>
      <c r="B14" s="656"/>
      <c r="C14" s="657" t="s">
        <v>227</v>
      </c>
      <c r="D14" s="658"/>
      <c r="E14" s="489">
        <v>2</v>
      </c>
      <c r="F14" s="661">
        <v>140</v>
      </c>
      <c r="G14" s="659">
        <f t="shared" si="0"/>
        <v>280</v>
      </c>
      <c r="H14" s="662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  <c r="DG14" s="125"/>
      <c r="DH14" s="125"/>
      <c r="DI14" s="125"/>
      <c r="DJ14" s="125"/>
      <c r="DK14" s="125"/>
      <c r="DL14" s="125"/>
      <c r="DM14" s="125"/>
      <c r="DN14" s="125"/>
      <c r="DO14" s="125"/>
      <c r="DP14" s="125"/>
      <c r="DQ14" s="125"/>
      <c r="DR14" s="125"/>
      <c r="DS14" s="125"/>
      <c r="DT14" s="125"/>
      <c r="DU14" s="125"/>
      <c r="DV14" s="125"/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25"/>
      <c r="FV14" s="125"/>
      <c r="FW14" s="125"/>
      <c r="FX14" s="125"/>
      <c r="FY14" s="125"/>
      <c r="FZ14" s="125"/>
      <c r="GA14" s="125"/>
      <c r="GB14" s="125"/>
      <c r="GC14" s="125"/>
      <c r="GD14" s="125"/>
      <c r="GE14" s="125"/>
      <c r="GF14" s="125"/>
      <c r="GG14" s="125"/>
      <c r="GH14" s="125"/>
      <c r="GI14" s="125"/>
      <c r="GJ14" s="125"/>
      <c r="GK14" s="125"/>
      <c r="GL14" s="125"/>
      <c r="GM14" s="125"/>
      <c r="GN14" s="125"/>
      <c r="GO14" s="125"/>
      <c r="GP14" s="125"/>
      <c r="GQ14" s="125"/>
      <c r="GR14" s="125"/>
      <c r="GS14" s="125"/>
      <c r="GT14" s="125"/>
      <c r="GU14" s="125"/>
      <c r="GV14" s="125"/>
      <c r="GW14" s="125"/>
      <c r="GX14" s="125"/>
      <c r="GY14" s="125"/>
      <c r="GZ14" s="125"/>
      <c r="HA14" s="125"/>
      <c r="HB14" s="125"/>
      <c r="HC14" s="125"/>
      <c r="HD14" s="125"/>
      <c r="HE14" s="125"/>
      <c r="HF14" s="125"/>
      <c r="HG14" s="125"/>
      <c r="HH14" s="125"/>
      <c r="HI14" s="125"/>
      <c r="HJ14" s="125"/>
      <c r="HK14" s="125"/>
      <c r="HL14" s="125"/>
      <c r="HM14" s="125"/>
      <c r="HN14" s="125"/>
      <c r="HO14" s="125"/>
      <c r="HP14" s="125"/>
      <c r="HQ14" s="125"/>
      <c r="HR14" s="125"/>
      <c r="HS14" s="125"/>
      <c r="HT14" s="125"/>
      <c r="HU14" s="125"/>
      <c r="HV14" s="125"/>
      <c r="HW14" s="125"/>
      <c r="HX14" s="125"/>
      <c r="HY14" s="125"/>
      <c r="HZ14" s="125"/>
      <c r="IA14" s="125"/>
      <c r="IB14" s="125"/>
      <c r="IC14" s="125"/>
      <c r="ID14" s="125"/>
      <c r="IE14" s="125"/>
      <c r="IF14" s="125"/>
      <c r="IG14" s="125"/>
      <c r="IH14" s="125"/>
      <c r="II14" s="125"/>
      <c r="IJ14" s="125"/>
      <c r="IK14" s="125"/>
      <c r="IL14" s="125"/>
      <c r="IM14" s="125"/>
      <c r="IN14" s="125"/>
      <c r="IO14" s="125"/>
      <c r="IP14" s="125"/>
      <c r="IQ14" s="125"/>
      <c r="IR14" s="125"/>
      <c r="IS14" s="125"/>
      <c r="IT14" s="125"/>
      <c r="IU14" s="125"/>
      <c r="IV14" s="125"/>
      <c r="IW14" s="125"/>
      <c r="IX14" s="125"/>
      <c r="IY14" s="125"/>
      <c r="IZ14" s="125"/>
      <c r="JA14" s="125"/>
      <c r="JB14" s="125"/>
      <c r="JC14" s="125"/>
      <c r="JD14" s="125"/>
      <c r="JE14" s="125"/>
      <c r="JF14" s="125"/>
      <c r="JG14" s="125"/>
      <c r="JH14" s="125"/>
      <c r="JI14" s="125"/>
      <c r="JJ14" s="125"/>
      <c r="JK14" s="125"/>
      <c r="JL14" s="125"/>
      <c r="JM14" s="125"/>
      <c r="JN14" s="125"/>
      <c r="JO14" s="125"/>
      <c r="JP14" s="125"/>
      <c r="JQ14" s="125"/>
      <c r="JR14" s="125"/>
      <c r="JS14" s="125"/>
      <c r="JT14" s="125"/>
      <c r="JU14" s="125"/>
      <c r="JV14" s="125"/>
      <c r="JW14" s="125"/>
      <c r="JX14" s="125"/>
      <c r="JY14" s="125"/>
      <c r="JZ14" s="125"/>
      <c r="KA14" s="125"/>
      <c r="KB14" s="125"/>
      <c r="KC14" s="125"/>
      <c r="KD14" s="125"/>
      <c r="KE14" s="125"/>
      <c r="KF14" s="125"/>
      <c r="KG14" s="125"/>
      <c r="KH14" s="125"/>
      <c r="KI14" s="125"/>
      <c r="KJ14" s="125"/>
      <c r="KK14" s="125"/>
      <c r="KL14" s="125"/>
      <c r="KM14" s="125"/>
      <c r="KN14" s="125"/>
      <c r="KO14" s="125"/>
      <c r="KP14" s="125"/>
      <c r="KQ14" s="125"/>
      <c r="KR14" s="125"/>
      <c r="KS14" s="125"/>
      <c r="KT14" s="125"/>
      <c r="KU14" s="125"/>
      <c r="KV14" s="125"/>
      <c r="KW14" s="125"/>
      <c r="KX14" s="125"/>
      <c r="KY14" s="125"/>
      <c r="KZ14" s="125"/>
      <c r="LA14" s="125"/>
      <c r="LB14" s="125"/>
      <c r="LC14" s="125"/>
      <c r="LD14" s="125"/>
      <c r="LE14" s="125"/>
      <c r="LF14" s="125"/>
      <c r="LG14" s="125"/>
      <c r="LH14" s="125"/>
      <c r="LI14" s="125"/>
      <c r="LJ14" s="125"/>
      <c r="LK14" s="125"/>
      <c r="LL14" s="125"/>
      <c r="LM14" s="125"/>
      <c r="LN14" s="125"/>
      <c r="LO14" s="125"/>
      <c r="LP14" s="125"/>
      <c r="LQ14" s="125"/>
      <c r="LR14" s="125"/>
      <c r="LS14" s="125"/>
      <c r="LT14" s="125"/>
      <c r="LU14" s="125"/>
      <c r="LV14" s="125"/>
      <c r="LW14" s="125"/>
      <c r="LX14" s="125"/>
      <c r="LY14" s="125"/>
      <c r="LZ14" s="125"/>
      <c r="MA14" s="125"/>
      <c r="MB14" s="125"/>
      <c r="MC14" s="125"/>
      <c r="MD14" s="125"/>
      <c r="ME14" s="125"/>
      <c r="MF14" s="125"/>
      <c r="MG14" s="125"/>
      <c r="MH14" s="125"/>
      <c r="MI14" s="125"/>
      <c r="MJ14" s="125"/>
      <c r="MK14" s="125"/>
      <c r="ML14" s="125"/>
      <c r="MM14" s="125"/>
      <c r="MN14" s="125"/>
      <c r="MO14" s="125"/>
      <c r="MP14" s="125"/>
      <c r="MQ14" s="125"/>
      <c r="MR14" s="125"/>
      <c r="MS14" s="125"/>
      <c r="MT14" s="125"/>
      <c r="MU14" s="125"/>
      <c r="MV14" s="125"/>
      <c r="MW14" s="125"/>
      <c r="MX14" s="125"/>
      <c r="MY14" s="125"/>
      <c r="MZ14" s="125"/>
      <c r="NA14" s="125"/>
      <c r="NB14" s="125"/>
      <c r="NC14" s="125"/>
      <c r="ND14" s="125"/>
      <c r="NE14" s="125"/>
      <c r="NF14" s="125"/>
      <c r="NG14" s="125"/>
      <c r="NH14" s="125"/>
      <c r="NI14" s="125"/>
      <c r="NJ14" s="125"/>
      <c r="NK14" s="125"/>
      <c r="NL14" s="125"/>
      <c r="NM14" s="125"/>
      <c r="NN14" s="125"/>
      <c r="NO14" s="125"/>
      <c r="NP14" s="125"/>
      <c r="NQ14" s="125"/>
      <c r="NR14" s="125"/>
      <c r="NS14" s="125"/>
      <c r="NT14" s="125"/>
      <c r="NU14" s="125"/>
      <c r="NV14" s="125"/>
      <c r="NW14" s="125"/>
      <c r="NX14" s="125"/>
      <c r="NY14" s="125"/>
      <c r="NZ14" s="125"/>
      <c r="OA14" s="125"/>
      <c r="OB14" s="125"/>
      <c r="OC14" s="125"/>
      <c r="OD14" s="125"/>
      <c r="OE14" s="125"/>
      <c r="OF14" s="125"/>
      <c r="OG14" s="125"/>
      <c r="OH14" s="125"/>
      <c r="OI14" s="125"/>
      <c r="OJ14" s="125"/>
      <c r="OK14" s="125"/>
      <c r="OL14" s="125"/>
      <c r="OM14" s="125"/>
      <c r="ON14" s="125"/>
      <c r="OO14" s="125"/>
      <c r="OP14" s="125"/>
      <c r="OQ14" s="125"/>
      <c r="OR14" s="125"/>
      <c r="OS14" s="125"/>
      <c r="OT14" s="125"/>
      <c r="OU14" s="125"/>
      <c r="OV14" s="125"/>
      <c r="OW14" s="125"/>
      <c r="OX14" s="125"/>
      <c r="OY14" s="125"/>
      <c r="OZ14" s="125"/>
      <c r="PA14" s="125"/>
      <c r="PB14" s="125"/>
      <c r="PC14" s="125"/>
      <c r="PD14" s="125"/>
      <c r="PE14" s="125"/>
      <c r="PF14" s="125"/>
      <c r="PG14" s="125"/>
      <c r="PH14" s="125"/>
      <c r="PI14" s="125"/>
      <c r="PJ14" s="125"/>
      <c r="PK14" s="125"/>
      <c r="PL14" s="125"/>
      <c r="PM14" s="125"/>
      <c r="PN14" s="125"/>
      <c r="PO14" s="125"/>
      <c r="PP14" s="125"/>
      <c r="PQ14" s="125"/>
      <c r="PR14" s="125"/>
      <c r="PS14" s="125"/>
      <c r="PT14" s="125"/>
      <c r="PU14" s="125"/>
      <c r="PV14" s="125"/>
      <c r="PW14" s="125"/>
      <c r="PX14" s="125"/>
      <c r="PY14" s="125"/>
      <c r="PZ14" s="125"/>
      <c r="QA14" s="125"/>
      <c r="QB14" s="125"/>
      <c r="QC14" s="125"/>
      <c r="QD14" s="125"/>
      <c r="QE14" s="125"/>
      <c r="QF14" s="125"/>
      <c r="QG14" s="125"/>
      <c r="QH14" s="125"/>
      <c r="QI14" s="125"/>
      <c r="QJ14" s="125"/>
      <c r="QK14" s="125"/>
      <c r="QL14" s="125"/>
      <c r="QM14" s="125"/>
    </row>
    <row r="15" spans="1:455" s="122" customFormat="1" ht="13.5">
      <c r="A15" s="655"/>
      <c r="B15" s="656"/>
      <c r="C15" s="657" t="s">
        <v>228</v>
      </c>
      <c r="D15" s="658"/>
      <c r="E15" s="489">
        <v>3</v>
      </c>
      <c r="F15" s="661">
        <v>60</v>
      </c>
      <c r="G15" s="659">
        <f t="shared" si="0"/>
        <v>180</v>
      </c>
      <c r="H15" s="662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  <c r="DE15" s="125"/>
      <c r="DF15" s="125"/>
      <c r="DG15" s="125"/>
      <c r="DH15" s="125"/>
      <c r="DI15" s="125"/>
      <c r="DJ15" s="125"/>
      <c r="DK15" s="125"/>
      <c r="DL15" s="125"/>
      <c r="DM15" s="125"/>
      <c r="DN15" s="125"/>
      <c r="DO15" s="125"/>
      <c r="DP15" s="125"/>
      <c r="DQ15" s="125"/>
      <c r="DR15" s="125"/>
      <c r="DS15" s="125"/>
      <c r="DT15" s="125"/>
      <c r="DU15" s="125"/>
      <c r="DV15" s="125"/>
      <c r="DW15" s="125"/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25"/>
      <c r="FV15" s="125"/>
      <c r="FW15" s="125"/>
      <c r="FX15" s="125"/>
      <c r="FY15" s="125"/>
      <c r="FZ15" s="125"/>
      <c r="GA15" s="125"/>
      <c r="GB15" s="125"/>
      <c r="GC15" s="125"/>
      <c r="GD15" s="125"/>
      <c r="GE15" s="125"/>
      <c r="GF15" s="125"/>
      <c r="GG15" s="125"/>
      <c r="GH15" s="125"/>
      <c r="GI15" s="125"/>
      <c r="GJ15" s="125"/>
      <c r="GK15" s="125"/>
      <c r="GL15" s="125"/>
      <c r="GM15" s="125"/>
      <c r="GN15" s="125"/>
      <c r="GO15" s="125"/>
      <c r="GP15" s="125"/>
      <c r="GQ15" s="125"/>
      <c r="GR15" s="125"/>
      <c r="GS15" s="125"/>
      <c r="GT15" s="125"/>
      <c r="GU15" s="125"/>
      <c r="GV15" s="125"/>
      <c r="GW15" s="125"/>
      <c r="GX15" s="125"/>
      <c r="GY15" s="125"/>
      <c r="GZ15" s="125"/>
      <c r="HA15" s="125"/>
      <c r="HB15" s="125"/>
      <c r="HC15" s="125"/>
      <c r="HD15" s="125"/>
      <c r="HE15" s="125"/>
      <c r="HF15" s="125"/>
      <c r="HG15" s="125"/>
      <c r="HH15" s="125"/>
      <c r="HI15" s="125"/>
      <c r="HJ15" s="125"/>
      <c r="HK15" s="125"/>
      <c r="HL15" s="125"/>
      <c r="HM15" s="125"/>
      <c r="HN15" s="125"/>
      <c r="HO15" s="125"/>
      <c r="HP15" s="125"/>
      <c r="HQ15" s="125"/>
      <c r="HR15" s="125"/>
      <c r="HS15" s="125"/>
      <c r="HT15" s="125"/>
      <c r="HU15" s="125"/>
      <c r="HV15" s="125"/>
      <c r="HW15" s="125"/>
      <c r="HX15" s="125"/>
      <c r="HY15" s="125"/>
      <c r="HZ15" s="125"/>
      <c r="IA15" s="125"/>
      <c r="IB15" s="125"/>
      <c r="IC15" s="125"/>
      <c r="ID15" s="125"/>
      <c r="IE15" s="125"/>
      <c r="IF15" s="125"/>
      <c r="IG15" s="125"/>
      <c r="IH15" s="125"/>
      <c r="II15" s="125"/>
      <c r="IJ15" s="125"/>
      <c r="IK15" s="125"/>
      <c r="IL15" s="125"/>
      <c r="IM15" s="125"/>
      <c r="IN15" s="125"/>
      <c r="IO15" s="125"/>
      <c r="IP15" s="125"/>
      <c r="IQ15" s="125"/>
      <c r="IR15" s="125"/>
      <c r="IS15" s="125"/>
      <c r="IT15" s="125"/>
      <c r="IU15" s="125"/>
      <c r="IV15" s="125"/>
      <c r="IW15" s="125"/>
      <c r="IX15" s="125"/>
      <c r="IY15" s="125"/>
      <c r="IZ15" s="125"/>
      <c r="JA15" s="125"/>
      <c r="JB15" s="125"/>
      <c r="JC15" s="125"/>
      <c r="JD15" s="125"/>
      <c r="JE15" s="125"/>
      <c r="JF15" s="125"/>
      <c r="JG15" s="125"/>
      <c r="JH15" s="125"/>
      <c r="JI15" s="125"/>
      <c r="JJ15" s="125"/>
      <c r="JK15" s="125"/>
      <c r="JL15" s="125"/>
      <c r="JM15" s="125"/>
      <c r="JN15" s="125"/>
      <c r="JO15" s="125"/>
      <c r="JP15" s="125"/>
      <c r="JQ15" s="125"/>
      <c r="JR15" s="125"/>
      <c r="JS15" s="125"/>
      <c r="JT15" s="125"/>
      <c r="JU15" s="125"/>
      <c r="JV15" s="125"/>
      <c r="JW15" s="125"/>
      <c r="JX15" s="125"/>
      <c r="JY15" s="125"/>
      <c r="JZ15" s="125"/>
      <c r="KA15" s="125"/>
      <c r="KB15" s="125"/>
      <c r="KC15" s="125"/>
      <c r="KD15" s="125"/>
      <c r="KE15" s="125"/>
      <c r="KF15" s="125"/>
      <c r="KG15" s="125"/>
      <c r="KH15" s="125"/>
      <c r="KI15" s="125"/>
      <c r="KJ15" s="125"/>
      <c r="KK15" s="125"/>
      <c r="KL15" s="125"/>
      <c r="KM15" s="125"/>
      <c r="KN15" s="125"/>
      <c r="KO15" s="125"/>
      <c r="KP15" s="125"/>
      <c r="KQ15" s="125"/>
      <c r="KR15" s="125"/>
      <c r="KS15" s="125"/>
      <c r="KT15" s="125"/>
      <c r="KU15" s="125"/>
      <c r="KV15" s="125"/>
      <c r="KW15" s="125"/>
      <c r="KX15" s="125"/>
      <c r="KY15" s="125"/>
      <c r="KZ15" s="125"/>
      <c r="LA15" s="125"/>
      <c r="LB15" s="125"/>
      <c r="LC15" s="125"/>
      <c r="LD15" s="125"/>
      <c r="LE15" s="125"/>
      <c r="LF15" s="125"/>
      <c r="LG15" s="125"/>
      <c r="LH15" s="125"/>
      <c r="LI15" s="125"/>
      <c r="LJ15" s="125"/>
      <c r="LK15" s="125"/>
      <c r="LL15" s="125"/>
      <c r="LM15" s="125"/>
      <c r="LN15" s="125"/>
      <c r="LO15" s="125"/>
      <c r="LP15" s="125"/>
      <c r="LQ15" s="125"/>
      <c r="LR15" s="125"/>
      <c r="LS15" s="125"/>
      <c r="LT15" s="125"/>
      <c r="LU15" s="125"/>
      <c r="LV15" s="125"/>
      <c r="LW15" s="125"/>
      <c r="LX15" s="125"/>
      <c r="LY15" s="125"/>
      <c r="LZ15" s="125"/>
      <c r="MA15" s="125"/>
      <c r="MB15" s="125"/>
      <c r="MC15" s="125"/>
      <c r="MD15" s="125"/>
      <c r="ME15" s="125"/>
      <c r="MF15" s="125"/>
      <c r="MG15" s="125"/>
      <c r="MH15" s="125"/>
      <c r="MI15" s="125"/>
      <c r="MJ15" s="125"/>
      <c r="MK15" s="125"/>
      <c r="ML15" s="125"/>
      <c r="MM15" s="125"/>
      <c r="MN15" s="125"/>
      <c r="MO15" s="125"/>
      <c r="MP15" s="125"/>
      <c r="MQ15" s="125"/>
      <c r="MR15" s="125"/>
      <c r="MS15" s="125"/>
      <c r="MT15" s="125"/>
      <c r="MU15" s="125"/>
      <c r="MV15" s="125"/>
      <c r="MW15" s="125"/>
      <c r="MX15" s="125"/>
      <c r="MY15" s="125"/>
      <c r="MZ15" s="125"/>
      <c r="NA15" s="125"/>
      <c r="NB15" s="125"/>
      <c r="NC15" s="125"/>
      <c r="ND15" s="125"/>
      <c r="NE15" s="125"/>
      <c r="NF15" s="125"/>
      <c r="NG15" s="125"/>
      <c r="NH15" s="125"/>
      <c r="NI15" s="125"/>
      <c r="NJ15" s="125"/>
      <c r="NK15" s="125"/>
      <c r="NL15" s="125"/>
      <c r="NM15" s="125"/>
      <c r="NN15" s="125"/>
      <c r="NO15" s="125"/>
      <c r="NP15" s="125"/>
      <c r="NQ15" s="125"/>
      <c r="NR15" s="125"/>
      <c r="NS15" s="125"/>
      <c r="NT15" s="125"/>
      <c r="NU15" s="125"/>
      <c r="NV15" s="125"/>
      <c r="NW15" s="125"/>
      <c r="NX15" s="125"/>
      <c r="NY15" s="125"/>
      <c r="NZ15" s="125"/>
      <c r="OA15" s="125"/>
      <c r="OB15" s="125"/>
      <c r="OC15" s="125"/>
      <c r="OD15" s="125"/>
      <c r="OE15" s="125"/>
      <c r="OF15" s="125"/>
      <c r="OG15" s="125"/>
      <c r="OH15" s="125"/>
      <c r="OI15" s="125"/>
      <c r="OJ15" s="125"/>
      <c r="OK15" s="125"/>
      <c r="OL15" s="125"/>
      <c r="OM15" s="125"/>
      <c r="ON15" s="125"/>
      <c r="OO15" s="125"/>
      <c r="OP15" s="125"/>
      <c r="OQ15" s="125"/>
      <c r="OR15" s="125"/>
      <c r="OS15" s="125"/>
      <c r="OT15" s="125"/>
      <c r="OU15" s="125"/>
      <c r="OV15" s="125"/>
      <c r="OW15" s="125"/>
      <c r="OX15" s="125"/>
      <c r="OY15" s="125"/>
      <c r="OZ15" s="125"/>
      <c r="PA15" s="125"/>
      <c r="PB15" s="125"/>
      <c r="PC15" s="125"/>
      <c r="PD15" s="125"/>
      <c r="PE15" s="125"/>
      <c r="PF15" s="125"/>
      <c r="PG15" s="125"/>
      <c r="PH15" s="125"/>
      <c r="PI15" s="125"/>
      <c r="PJ15" s="125"/>
      <c r="PK15" s="125"/>
      <c r="PL15" s="125"/>
      <c r="PM15" s="125"/>
      <c r="PN15" s="125"/>
      <c r="PO15" s="125"/>
      <c r="PP15" s="125"/>
      <c r="PQ15" s="125"/>
      <c r="PR15" s="125"/>
      <c r="PS15" s="125"/>
      <c r="PT15" s="125"/>
      <c r="PU15" s="125"/>
      <c r="PV15" s="125"/>
      <c r="PW15" s="125"/>
      <c r="PX15" s="125"/>
      <c r="PY15" s="125"/>
      <c r="PZ15" s="125"/>
      <c r="QA15" s="125"/>
      <c r="QB15" s="125"/>
      <c r="QC15" s="125"/>
      <c r="QD15" s="125"/>
      <c r="QE15" s="125"/>
      <c r="QF15" s="125"/>
      <c r="QG15" s="125"/>
      <c r="QH15" s="125"/>
      <c r="QI15" s="125"/>
      <c r="QJ15" s="125"/>
      <c r="QK15" s="125"/>
      <c r="QL15" s="125"/>
      <c r="QM15" s="125"/>
    </row>
    <row r="16" spans="1:455" s="122" customFormat="1" ht="13.5">
      <c r="A16" s="655"/>
      <c r="B16" s="656"/>
      <c r="C16" s="657" t="s">
        <v>229</v>
      </c>
      <c r="D16" s="658"/>
      <c r="E16" s="489">
        <v>3</v>
      </c>
      <c r="F16" s="661">
        <v>30</v>
      </c>
      <c r="G16" s="659">
        <f t="shared" si="0"/>
        <v>90</v>
      </c>
      <c r="H16" s="662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25"/>
      <c r="FV16" s="125"/>
      <c r="FW16" s="125"/>
      <c r="FX16" s="125"/>
      <c r="FY16" s="125"/>
      <c r="FZ16" s="125"/>
      <c r="GA16" s="125"/>
      <c r="GB16" s="125"/>
      <c r="GC16" s="125"/>
      <c r="GD16" s="125"/>
      <c r="GE16" s="125"/>
      <c r="GF16" s="125"/>
      <c r="GG16" s="125"/>
      <c r="GH16" s="125"/>
      <c r="GI16" s="125"/>
      <c r="GJ16" s="125"/>
      <c r="GK16" s="125"/>
      <c r="GL16" s="125"/>
      <c r="GM16" s="125"/>
      <c r="GN16" s="125"/>
      <c r="GO16" s="125"/>
      <c r="GP16" s="125"/>
      <c r="GQ16" s="125"/>
      <c r="GR16" s="125"/>
      <c r="GS16" s="125"/>
      <c r="GT16" s="125"/>
      <c r="GU16" s="125"/>
      <c r="GV16" s="125"/>
      <c r="GW16" s="125"/>
      <c r="GX16" s="125"/>
      <c r="GY16" s="125"/>
      <c r="GZ16" s="125"/>
      <c r="HA16" s="125"/>
      <c r="HB16" s="125"/>
      <c r="HC16" s="125"/>
      <c r="HD16" s="125"/>
      <c r="HE16" s="125"/>
      <c r="HF16" s="125"/>
      <c r="HG16" s="125"/>
      <c r="HH16" s="125"/>
      <c r="HI16" s="125"/>
      <c r="HJ16" s="125"/>
      <c r="HK16" s="125"/>
      <c r="HL16" s="125"/>
      <c r="HM16" s="125"/>
      <c r="HN16" s="125"/>
      <c r="HO16" s="125"/>
      <c r="HP16" s="125"/>
      <c r="HQ16" s="125"/>
      <c r="HR16" s="125"/>
      <c r="HS16" s="125"/>
      <c r="HT16" s="125"/>
      <c r="HU16" s="125"/>
      <c r="HV16" s="125"/>
      <c r="HW16" s="125"/>
      <c r="HX16" s="125"/>
      <c r="HY16" s="125"/>
      <c r="HZ16" s="125"/>
      <c r="IA16" s="125"/>
      <c r="IB16" s="125"/>
      <c r="IC16" s="125"/>
      <c r="ID16" s="125"/>
      <c r="IE16" s="125"/>
      <c r="IF16" s="125"/>
      <c r="IG16" s="125"/>
      <c r="IH16" s="125"/>
      <c r="II16" s="125"/>
      <c r="IJ16" s="125"/>
      <c r="IK16" s="125"/>
      <c r="IL16" s="125"/>
      <c r="IM16" s="125"/>
      <c r="IN16" s="125"/>
      <c r="IO16" s="125"/>
      <c r="IP16" s="125"/>
      <c r="IQ16" s="125"/>
      <c r="IR16" s="125"/>
      <c r="IS16" s="125"/>
      <c r="IT16" s="125"/>
      <c r="IU16" s="125"/>
      <c r="IV16" s="125"/>
      <c r="IW16" s="125"/>
      <c r="IX16" s="125"/>
      <c r="IY16" s="125"/>
      <c r="IZ16" s="125"/>
      <c r="JA16" s="125"/>
      <c r="JB16" s="125"/>
      <c r="JC16" s="125"/>
      <c r="JD16" s="125"/>
      <c r="JE16" s="125"/>
      <c r="JF16" s="125"/>
      <c r="JG16" s="125"/>
      <c r="JH16" s="125"/>
      <c r="JI16" s="125"/>
      <c r="JJ16" s="125"/>
      <c r="JK16" s="125"/>
      <c r="JL16" s="125"/>
      <c r="JM16" s="125"/>
      <c r="JN16" s="125"/>
      <c r="JO16" s="125"/>
      <c r="JP16" s="125"/>
      <c r="JQ16" s="125"/>
      <c r="JR16" s="125"/>
      <c r="JS16" s="125"/>
      <c r="JT16" s="125"/>
      <c r="JU16" s="125"/>
      <c r="JV16" s="125"/>
      <c r="JW16" s="125"/>
      <c r="JX16" s="125"/>
      <c r="JY16" s="125"/>
      <c r="JZ16" s="125"/>
      <c r="KA16" s="125"/>
      <c r="KB16" s="125"/>
      <c r="KC16" s="125"/>
      <c r="KD16" s="125"/>
      <c r="KE16" s="125"/>
      <c r="KF16" s="125"/>
      <c r="KG16" s="125"/>
      <c r="KH16" s="125"/>
      <c r="KI16" s="125"/>
      <c r="KJ16" s="125"/>
      <c r="KK16" s="125"/>
      <c r="KL16" s="125"/>
      <c r="KM16" s="125"/>
      <c r="KN16" s="125"/>
      <c r="KO16" s="125"/>
      <c r="KP16" s="125"/>
      <c r="KQ16" s="125"/>
      <c r="KR16" s="125"/>
      <c r="KS16" s="125"/>
      <c r="KT16" s="125"/>
      <c r="KU16" s="125"/>
      <c r="KV16" s="125"/>
      <c r="KW16" s="125"/>
      <c r="KX16" s="125"/>
      <c r="KY16" s="125"/>
      <c r="KZ16" s="125"/>
      <c r="LA16" s="125"/>
      <c r="LB16" s="125"/>
      <c r="LC16" s="125"/>
      <c r="LD16" s="125"/>
      <c r="LE16" s="125"/>
      <c r="LF16" s="125"/>
      <c r="LG16" s="125"/>
      <c r="LH16" s="125"/>
      <c r="LI16" s="125"/>
      <c r="LJ16" s="125"/>
      <c r="LK16" s="125"/>
      <c r="LL16" s="125"/>
      <c r="LM16" s="125"/>
      <c r="LN16" s="125"/>
      <c r="LO16" s="125"/>
      <c r="LP16" s="125"/>
      <c r="LQ16" s="125"/>
      <c r="LR16" s="125"/>
      <c r="LS16" s="125"/>
      <c r="LT16" s="125"/>
      <c r="LU16" s="125"/>
      <c r="LV16" s="125"/>
      <c r="LW16" s="125"/>
      <c r="LX16" s="125"/>
      <c r="LY16" s="125"/>
      <c r="LZ16" s="125"/>
      <c r="MA16" s="125"/>
      <c r="MB16" s="125"/>
      <c r="MC16" s="125"/>
      <c r="MD16" s="125"/>
      <c r="ME16" s="125"/>
      <c r="MF16" s="125"/>
      <c r="MG16" s="125"/>
      <c r="MH16" s="125"/>
      <c r="MI16" s="125"/>
      <c r="MJ16" s="125"/>
      <c r="MK16" s="125"/>
      <c r="ML16" s="125"/>
      <c r="MM16" s="125"/>
      <c r="MN16" s="125"/>
      <c r="MO16" s="125"/>
      <c r="MP16" s="125"/>
      <c r="MQ16" s="125"/>
      <c r="MR16" s="125"/>
      <c r="MS16" s="125"/>
      <c r="MT16" s="125"/>
      <c r="MU16" s="125"/>
      <c r="MV16" s="125"/>
      <c r="MW16" s="125"/>
      <c r="MX16" s="125"/>
      <c r="MY16" s="125"/>
      <c r="MZ16" s="125"/>
      <c r="NA16" s="125"/>
      <c r="NB16" s="125"/>
      <c r="NC16" s="125"/>
      <c r="ND16" s="125"/>
      <c r="NE16" s="125"/>
      <c r="NF16" s="125"/>
      <c r="NG16" s="125"/>
      <c r="NH16" s="125"/>
      <c r="NI16" s="125"/>
      <c r="NJ16" s="125"/>
      <c r="NK16" s="125"/>
      <c r="NL16" s="125"/>
      <c r="NM16" s="125"/>
      <c r="NN16" s="125"/>
      <c r="NO16" s="125"/>
      <c r="NP16" s="125"/>
      <c r="NQ16" s="125"/>
      <c r="NR16" s="125"/>
      <c r="NS16" s="125"/>
      <c r="NT16" s="125"/>
      <c r="NU16" s="125"/>
      <c r="NV16" s="125"/>
      <c r="NW16" s="125"/>
      <c r="NX16" s="125"/>
      <c r="NY16" s="125"/>
      <c r="NZ16" s="125"/>
      <c r="OA16" s="125"/>
      <c r="OB16" s="125"/>
      <c r="OC16" s="125"/>
      <c r="OD16" s="125"/>
      <c r="OE16" s="125"/>
      <c r="OF16" s="125"/>
      <c r="OG16" s="125"/>
      <c r="OH16" s="125"/>
      <c r="OI16" s="125"/>
      <c r="OJ16" s="125"/>
      <c r="OK16" s="125"/>
      <c r="OL16" s="125"/>
      <c r="OM16" s="125"/>
      <c r="ON16" s="125"/>
      <c r="OO16" s="125"/>
      <c r="OP16" s="125"/>
      <c r="OQ16" s="125"/>
      <c r="OR16" s="125"/>
      <c r="OS16" s="125"/>
      <c r="OT16" s="125"/>
      <c r="OU16" s="125"/>
      <c r="OV16" s="125"/>
      <c r="OW16" s="125"/>
      <c r="OX16" s="125"/>
      <c r="OY16" s="125"/>
      <c r="OZ16" s="125"/>
      <c r="PA16" s="125"/>
      <c r="PB16" s="125"/>
      <c r="PC16" s="125"/>
      <c r="PD16" s="125"/>
      <c r="PE16" s="125"/>
      <c r="PF16" s="125"/>
      <c r="PG16" s="125"/>
      <c r="PH16" s="125"/>
      <c r="PI16" s="125"/>
      <c r="PJ16" s="125"/>
      <c r="PK16" s="125"/>
      <c r="PL16" s="125"/>
      <c r="PM16" s="125"/>
      <c r="PN16" s="125"/>
      <c r="PO16" s="125"/>
      <c r="PP16" s="125"/>
      <c r="PQ16" s="125"/>
      <c r="PR16" s="125"/>
      <c r="PS16" s="125"/>
      <c r="PT16" s="125"/>
      <c r="PU16" s="125"/>
      <c r="PV16" s="125"/>
      <c r="PW16" s="125"/>
      <c r="PX16" s="125"/>
      <c r="PY16" s="125"/>
      <c r="PZ16" s="125"/>
      <c r="QA16" s="125"/>
      <c r="QB16" s="125"/>
      <c r="QC16" s="125"/>
      <c r="QD16" s="125"/>
      <c r="QE16" s="125"/>
      <c r="QF16" s="125"/>
      <c r="QG16" s="125"/>
      <c r="QH16" s="125"/>
      <c r="QI16" s="125"/>
      <c r="QJ16" s="125"/>
      <c r="QK16" s="125"/>
      <c r="QL16" s="125"/>
      <c r="QM16" s="125"/>
    </row>
    <row r="17" spans="1:455" s="122" customFormat="1" ht="13.5">
      <c r="A17" s="655"/>
      <c r="B17" s="656"/>
      <c r="C17" s="657" t="s">
        <v>230</v>
      </c>
      <c r="D17" s="658"/>
      <c r="E17" s="489">
        <v>4</v>
      </c>
      <c r="F17" s="661">
        <v>60</v>
      </c>
      <c r="G17" s="659">
        <f t="shared" si="0"/>
        <v>240</v>
      </c>
      <c r="H17" s="662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125"/>
      <c r="FV17" s="125"/>
      <c r="FW17" s="125"/>
      <c r="FX17" s="125"/>
      <c r="FY17" s="125"/>
      <c r="FZ17" s="125"/>
      <c r="GA17" s="125"/>
      <c r="GB17" s="125"/>
      <c r="GC17" s="125"/>
      <c r="GD17" s="125"/>
      <c r="GE17" s="125"/>
      <c r="GF17" s="125"/>
      <c r="GG17" s="125"/>
      <c r="GH17" s="125"/>
      <c r="GI17" s="125"/>
      <c r="GJ17" s="125"/>
      <c r="GK17" s="125"/>
      <c r="GL17" s="125"/>
      <c r="GM17" s="125"/>
      <c r="GN17" s="125"/>
      <c r="GO17" s="125"/>
      <c r="GP17" s="125"/>
      <c r="GQ17" s="125"/>
      <c r="GR17" s="125"/>
      <c r="GS17" s="125"/>
      <c r="GT17" s="125"/>
      <c r="GU17" s="125"/>
      <c r="GV17" s="125"/>
      <c r="GW17" s="125"/>
      <c r="GX17" s="125"/>
      <c r="GY17" s="125"/>
      <c r="GZ17" s="125"/>
      <c r="HA17" s="125"/>
      <c r="HB17" s="125"/>
      <c r="HC17" s="125"/>
      <c r="HD17" s="125"/>
      <c r="HE17" s="125"/>
      <c r="HF17" s="125"/>
      <c r="HG17" s="125"/>
      <c r="HH17" s="125"/>
      <c r="HI17" s="125"/>
      <c r="HJ17" s="125"/>
      <c r="HK17" s="125"/>
      <c r="HL17" s="125"/>
      <c r="HM17" s="125"/>
      <c r="HN17" s="125"/>
      <c r="HO17" s="125"/>
      <c r="HP17" s="125"/>
      <c r="HQ17" s="125"/>
      <c r="HR17" s="125"/>
      <c r="HS17" s="125"/>
      <c r="HT17" s="125"/>
      <c r="HU17" s="125"/>
      <c r="HV17" s="125"/>
      <c r="HW17" s="125"/>
      <c r="HX17" s="125"/>
      <c r="HY17" s="125"/>
      <c r="HZ17" s="125"/>
      <c r="IA17" s="125"/>
      <c r="IB17" s="125"/>
      <c r="IC17" s="125"/>
      <c r="ID17" s="125"/>
      <c r="IE17" s="125"/>
      <c r="IF17" s="125"/>
      <c r="IG17" s="125"/>
      <c r="IH17" s="125"/>
      <c r="II17" s="125"/>
      <c r="IJ17" s="125"/>
      <c r="IK17" s="125"/>
      <c r="IL17" s="125"/>
      <c r="IM17" s="125"/>
      <c r="IN17" s="125"/>
      <c r="IO17" s="125"/>
      <c r="IP17" s="125"/>
      <c r="IQ17" s="125"/>
      <c r="IR17" s="125"/>
      <c r="IS17" s="125"/>
      <c r="IT17" s="125"/>
      <c r="IU17" s="125"/>
      <c r="IV17" s="125"/>
      <c r="IW17" s="125"/>
      <c r="IX17" s="125"/>
      <c r="IY17" s="125"/>
      <c r="IZ17" s="125"/>
      <c r="JA17" s="125"/>
      <c r="JB17" s="125"/>
      <c r="JC17" s="125"/>
      <c r="JD17" s="125"/>
      <c r="JE17" s="125"/>
      <c r="JF17" s="125"/>
      <c r="JG17" s="125"/>
      <c r="JH17" s="125"/>
      <c r="JI17" s="125"/>
      <c r="JJ17" s="125"/>
      <c r="JK17" s="125"/>
      <c r="JL17" s="125"/>
      <c r="JM17" s="125"/>
      <c r="JN17" s="125"/>
      <c r="JO17" s="125"/>
      <c r="JP17" s="125"/>
      <c r="JQ17" s="125"/>
      <c r="JR17" s="125"/>
      <c r="JS17" s="125"/>
      <c r="JT17" s="125"/>
      <c r="JU17" s="125"/>
      <c r="JV17" s="125"/>
      <c r="JW17" s="125"/>
      <c r="JX17" s="125"/>
      <c r="JY17" s="125"/>
      <c r="JZ17" s="125"/>
      <c r="KA17" s="125"/>
      <c r="KB17" s="125"/>
      <c r="KC17" s="125"/>
      <c r="KD17" s="125"/>
      <c r="KE17" s="125"/>
      <c r="KF17" s="125"/>
      <c r="KG17" s="125"/>
      <c r="KH17" s="125"/>
      <c r="KI17" s="125"/>
      <c r="KJ17" s="125"/>
      <c r="KK17" s="125"/>
      <c r="KL17" s="125"/>
      <c r="KM17" s="125"/>
      <c r="KN17" s="125"/>
      <c r="KO17" s="125"/>
      <c r="KP17" s="125"/>
      <c r="KQ17" s="125"/>
      <c r="KR17" s="125"/>
      <c r="KS17" s="125"/>
      <c r="KT17" s="125"/>
      <c r="KU17" s="125"/>
      <c r="KV17" s="125"/>
      <c r="KW17" s="125"/>
      <c r="KX17" s="125"/>
      <c r="KY17" s="125"/>
      <c r="KZ17" s="125"/>
      <c r="LA17" s="125"/>
      <c r="LB17" s="125"/>
      <c r="LC17" s="125"/>
      <c r="LD17" s="125"/>
      <c r="LE17" s="125"/>
      <c r="LF17" s="125"/>
      <c r="LG17" s="125"/>
      <c r="LH17" s="125"/>
      <c r="LI17" s="125"/>
      <c r="LJ17" s="125"/>
      <c r="LK17" s="125"/>
      <c r="LL17" s="125"/>
      <c r="LM17" s="125"/>
      <c r="LN17" s="125"/>
      <c r="LO17" s="125"/>
      <c r="LP17" s="125"/>
      <c r="LQ17" s="125"/>
      <c r="LR17" s="125"/>
      <c r="LS17" s="125"/>
      <c r="LT17" s="125"/>
      <c r="LU17" s="125"/>
      <c r="LV17" s="125"/>
      <c r="LW17" s="125"/>
      <c r="LX17" s="125"/>
      <c r="LY17" s="125"/>
      <c r="LZ17" s="125"/>
      <c r="MA17" s="125"/>
      <c r="MB17" s="125"/>
      <c r="MC17" s="125"/>
      <c r="MD17" s="125"/>
      <c r="ME17" s="125"/>
      <c r="MF17" s="125"/>
      <c r="MG17" s="125"/>
      <c r="MH17" s="125"/>
      <c r="MI17" s="125"/>
      <c r="MJ17" s="125"/>
      <c r="MK17" s="125"/>
      <c r="ML17" s="125"/>
      <c r="MM17" s="125"/>
      <c r="MN17" s="125"/>
      <c r="MO17" s="125"/>
      <c r="MP17" s="125"/>
      <c r="MQ17" s="125"/>
      <c r="MR17" s="125"/>
      <c r="MS17" s="125"/>
      <c r="MT17" s="125"/>
      <c r="MU17" s="125"/>
      <c r="MV17" s="125"/>
      <c r="MW17" s="125"/>
      <c r="MX17" s="125"/>
      <c r="MY17" s="125"/>
      <c r="MZ17" s="125"/>
      <c r="NA17" s="125"/>
      <c r="NB17" s="125"/>
      <c r="NC17" s="125"/>
      <c r="ND17" s="125"/>
      <c r="NE17" s="125"/>
      <c r="NF17" s="125"/>
      <c r="NG17" s="125"/>
      <c r="NH17" s="125"/>
      <c r="NI17" s="125"/>
      <c r="NJ17" s="125"/>
      <c r="NK17" s="125"/>
      <c r="NL17" s="125"/>
      <c r="NM17" s="125"/>
      <c r="NN17" s="125"/>
      <c r="NO17" s="125"/>
      <c r="NP17" s="125"/>
      <c r="NQ17" s="125"/>
      <c r="NR17" s="125"/>
      <c r="NS17" s="125"/>
      <c r="NT17" s="125"/>
      <c r="NU17" s="125"/>
      <c r="NV17" s="125"/>
      <c r="NW17" s="125"/>
      <c r="NX17" s="125"/>
      <c r="NY17" s="125"/>
      <c r="NZ17" s="125"/>
      <c r="OA17" s="125"/>
      <c r="OB17" s="125"/>
      <c r="OC17" s="125"/>
      <c r="OD17" s="125"/>
      <c r="OE17" s="125"/>
      <c r="OF17" s="125"/>
      <c r="OG17" s="125"/>
      <c r="OH17" s="125"/>
      <c r="OI17" s="125"/>
      <c r="OJ17" s="125"/>
      <c r="OK17" s="125"/>
      <c r="OL17" s="125"/>
      <c r="OM17" s="125"/>
      <c r="ON17" s="125"/>
      <c r="OO17" s="125"/>
      <c r="OP17" s="125"/>
      <c r="OQ17" s="125"/>
      <c r="OR17" s="125"/>
      <c r="OS17" s="125"/>
      <c r="OT17" s="125"/>
      <c r="OU17" s="125"/>
      <c r="OV17" s="125"/>
      <c r="OW17" s="125"/>
      <c r="OX17" s="125"/>
      <c r="OY17" s="125"/>
      <c r="OZ17" s="125"/>
      <c r="PA17" s="125"/>
      <c r="PB17" s="125"/>
      <c r="PC17" s="125"/>
      <c r="PD17" s="125"/>
      <c r="PE17" s="125"/>
      <c r="PF17" s="125"/>
      <c r="PG17" s="125"/>
      <c r="PH17" s="125"/>
      <c r="PI17" s="125"/>
      <c r="PJ17" s="125"/>
      <c r="PK17" s="125"/>
      <c r="PL17" s="125"/>
      <c r="PM17" s="125"/>
      <c r="PN17" s="125"/>
      <c r="PO17" s="125"/>
      <c r="PP17" s="125"/>
      <c r="PQ17" s="125"/>
      <c r="PR17" s="125"/>
      <c r="PS17" s="125"/>
      <c r="PT17" s="125"/>
      <c r="PU17" s="125"/>
      <c r="PV17" s="125"/>
      <c r="PW17" s="125"/>
      <c r="PX17" s="125"/>
      <c r="PY17" s="125"/>
      <c r="PZ17" s="125"/>
      <c r="QA17" s="125"/>
      <c r="QB17" s="125"/>
      <c r="QC17" s="125"/>
      <c r="QD17" s="125"/>
      <c r="QE17" s="125"/>
      <c r="QF17" s="125"/>
      <c r="QG17" s="125"/>
      <c r="QH17" s="125"/>
      <c r="QI17" s="125"/>
      <c r="QJ17" s="125"/>
      <c r="QK17" s="125"/>
      <c r="QL17" s="125"/>
      <c r="QM17" s="125"/>
    </row>
    <row r="18" spans="1:455" s="122" customFormat="1" ht="13.5">
      <c r="A18" s="655"/>
      <c r="B18" s="656"/>
      <c r="C18" s="657" t="s">
        <v>231</v>
      </c>
      <c r="D18" s="658"/>
      <c r="E18" s="514">
        <v>1</v>
      </c>
      <c r="F18" s="661">
        <v>60</v>
      </c>
      <c r="G18" s="659">
        <f t="shared" si="0"/>
        <v>60</v>
      </c>
      <c r="H18" s="662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25"/>
      <c r="FU18" s="125"/>
      <c r="FV18" s="125"/>
      <c r="FW18" s="125"/>
      <c r="FX18" s="125"/>
      <c r="FY18" s="125"/>
      <c r="FZ18" s="125"/>
      <c r="GA18" s="125"/>
      <c r="GB18" s="125"/>
      <c r="GC18" s="125"/>
      <c r="GD18" s="125"/>
      <c r="GE18" s="125"/>
      <c r="GF18" s="125"/>
      <c r="GG18" s="125"/>
      <c r="GH18" s="125"/>
      <c r="GI18" s="125"/>
      <c r="GJ18" s="125"/>
      <c r="GK18" s="125"/>
      <c r="GL18" s="125"/>
      <c r="GM18" s="125"/>
      <c r="GN18" s="125"/>
      <c r="GO18" s="125"/>
      <c r="GP18" s="125"/>
      <c r="GQ18" s="125"/>
      <c r="GR18" s="125"/>
      <c r="GS18" s="125"/>
      <c r="GT18" s="125"/>
      <c r="GU18" s="125"/>
      <c r="GV18" s="125"/>
      <c r="GW18" s="125"/>
      <c r="GX18" s="125"/>
      <c r="GY18" s="125"/>
      <c r="GZ18" s="125"/>
      <c r="HA18" s="125"/>
      <c r="HB18" s="125"/>
      <c r="HC18" s="125"/>
      <c r="HD18" s="125"/>
      <c r="HE18" s="125"/>
      <c r="HF18" s="125"/>
      <c r="HG18" s="125"/>
      <c r="HH18" s="125"/>
      <c r="HI18" s="125"/>
      <c r="HJ18" s="125"/>
      <c r="HK18" s="125"/>
      <c r="HL18" s="125"/>
      <c r="HM18" s="125"/>
      <c r="HN18" s="125"/>
      <c r="HO18" s="125"/>
      <c r="HP18" s="125"/>
      <c r="HQ18" s="125"/>
      <c r="HR18" s="125"/>
      <c r="HS18" s="125"/>
      <c r="HT18" s="125"/>
      <c r="HU18" s="125"/>
      <c r="HV18" s="125"/>
      <c r="HW18" s="125"/>
      <c r="HX18" s="125"/>
      <c r="HY18" s="125"/>
      <c r="HZ18" s="125"/>
      <c r="IA18" s="125"/>
      <c r="IB18" s="125"/>
      <c r="IC18" s="125"/>
      <c r="ID18" s="125"/>
      <c r="IE18" s="125"/>
      <c r="IF18" s="125"/>
      <c r="IG18" s="125"/>
      <c r="IH18" s="125"/>
      <c r="II18" s="125"/>
      <c r="IJ18" s="125"/>
      <c r="IK18" s="125"/>
      <c r="IL18" s="125"/>
      <c r="IM18" s="125"/>
      <c r="IN18" s="125"/>
      <c r="IO18" s="125"/>
      <c r="IP18" s="125"/>
      <c r="IQ18" s="125"/>
      <c r="IR18" s="125"/>
      <c r="IS18" s="125"/>
      <c r="IT18" s="125"/>
      <c r="IU18" s="125"/>
      <c r="IV18" s="125"/>
      <c r="IW18" s="125"/>
      <c r="IX18" s="125"/>
      <c r="IY18" s="125"/>
      <c r="IZ18" s="125"/>
      <c r="JA18" s="125"/>
      <c r="JB18" s="125"/>
      <c r="JC18" s="125"/>
      <c r="JD18" s="125"/>
      <c r="JE18" s="125"/>
      <c r="JF18" s="125"/>
      <c r="JG18" s="125"/>
      <c r="JH18" s="125"/>
      <c r="JI18" s="125"/>
      <c r="JJ18" s="125"/>
      <c r="JK18" s="125"/>
      <c r="JL18" s="125"/>
      <c r="JM18" s="125"/>
      <c r="JN18" s="125"/>
      <c r="JO18" s="125"/>
      <c r="JP18" s="125"/>
      <c r="JQ18" s="125"/>
      <c r="JR18" s="125"/>
      <c r="JS18" s="125"/>
      <c r="JT18" s="125"/>
      <c r="JU18" s="125"/>
      <c r="JV18" s="125"/>
      <c r="JW18" s="125"/>
      <c r="JX18" s="125"/>
      <c r="JY18" s="125"/>
      <c r="JZ18" s="125"/>
      <c r="KA18" s="125"/>
      <c r="KB18" s="125"/>
      <c r="KC18" s="125"/>
      <c r="KD18" s="125"/>
      <c r="KE18" s="125"/>
      <c r="KF18" s="125"/>
      <c r="KG18" s="125"/>
      <c r="KH18" s="125"/>
      <c r="KI18" s="125"/>
      <c r="KJ18" s="125"/>
      <c r="KK18" s="125"/>
      <c r="KL18" s="125"/>
      <c r="KM18" s="125"/>
      <c r="KN18" s="125"/>
      <c r="KO18" s="125"/>
      <c r="KP18" s="125"/>
      <c r="KQ18" s="125"/>
      <c r="KR18" s="125"/>
      <c r="KS18" s="125"/>
      <c r="KT18" s="125"/>
      <c r="KU18" s="125"/>
      <c r="KV18" s="125"/>
      <c r="KW18" s="125"/>
      <c r="KX18" s="125"/>
      <c r="KY18" s="125"/>
      <c r="KZ18" s="125"/>
      <c r="LA18" s="125"/>
      <c r="LB18" s="125"/>
      <c r="LC18" s="125"/>
      <c r="LD18" s="125"/>
      <c r="LE18" s="125"/>
      <c r="LF18" s="125"/>
      <c r="LG18" s="125"/>
      <c r="LH18" s="125"/>
      <c r="LI18" s="125"/>
      <c r="LJ18" s="125"/>
      <c r="LK18" s="125"/>
      <c r="LL18" s="125"/>
      <c r="LM18" s="125"/>
      <c r="LN18" s="125"/>
      <c r="LO18" s="125"/>
      <c r="LP18" s="125"/>
      <c r="LQ18" s="125"/>
      <c r="LR18" s="125"/>
      <c r="LS18" s="125"/>
      <c r="LT18" s="125"/>
      <c r="LU18" s="125"/>
      <c r="LV18" s="125"/>
      <c r="LW18" s="125"/>
      <c r="LX18" s="125"/>
      <c r="LY18" s="125"/>
      <c r="LZ18" s="125"/>
      <c r="MA18" s="125"/>
      <c r="MB18" s="125"/>
      <c r="MC18" s="125"/>
      <c r="MD18" s="125"/>
      <c r="ME18" s="125"/>
      <c r="MF18" s="125"/>
      <c r="MG18" s="125"/>
      <c r="MH18" s="125"/>
      <c r="MI18" s="125"/>
      <c r="MJ18" s="125"/>
      <c r="MK18" s="125"/>
      <c r="ML18" s="125"/>
      <c r="MM18" s="125"/>
      <c r="MN18" s="125"/>
      <c r="MO18" s="125"/>
      <c r="MP18" s="125"/>
      <c r="MQ18" s="125"/>
      <c r="MR18" s="125"/>
      <c r="MS18" s="125"/>
      <c r="MT18" s="125"/>
      <c r="MU18" s="125"/>
      <c r="MV18" s="125"/>
      <c r="MW18" s="125"/>
      <c r="MX18" s="125"/>
      <c r="MY18" s="125"/>
      <c r="MZ18" s="125"/>
      <c r="NA18" s="125"/>
      <c r="NB18" s="125"/>
      <c r="NC18" s="125"/>
      <c r="ND18" s="125"/>
      <c r="NE18" s="125"/>
      <c r="NF18" s="125"/>
      <c r="NG18" s="125"/>
      <c r="NH18" s="125"/>
      <c r="NI18" s="125"/>
      <c r="NJ18" s="125"/>
      <c r="NK18" s="125"/>
      <c r="NL18" s="125"/>
      <c r="NM18" s="125"/>
      <c r="NN18" s="125"/>
      <c r="NO18" s="125"/>
      <c r="NP18" s="125"/>
      <c r="NQ18" s="125"/>
      <c r="NR18" s="125"/>
      <c r="NS18" s="125"/>
      <c r="NT18" s="125"/>
      <c r="NU18" s="125"/>
      <c r="NV18" s="125"/>
      <c r="NW18" s="125"/>
      <c r="NX18" s="125"/>
      <c r="NY18" s="125"/>
      <c r="NZ18" s="125"/>
      <c r="OA18" s="125"/>
      <c r="OB18" s="125"/>
      <c r="OC18" s="125"/>
      <c r="OD18" s="125"/>
      <c r="OE18" s="125"/>
      <c r="OF18" s="125"/>
      <c r="OG18" s="125"/>
      <c r="OH18" s="125"/>
      <c r="OI18" s="125"/>
      <c r="OJ18" s="125"/>
      <c r="OK18" s="125"/>
      <c r="OL18" s="125"/>
      <c r="OM18" s="125"/>
      <c r="ON18" s="125"/>
      <c r="OO18" s="125"/>
      <c r="OP18" s="125"/>
      <c r="OQ18" s="125"/>
      <c r="OR18" s="125"/>
      <c r="OS18" s="125"/>
      <c r="OT18" s="125"/>
      <c r="OU18" s="125"/>
      <c r="OV18" s="125"/>
      <c r="OW18" s="125"/>
      <c r="OX18" s="125"/>
      <c r="OY18" s="125"/>
      <c r="OZ18" s="125"/>
      <c r="PA18" s="125"/>
      <c r="PB18" s="125"/>
      <c r="PC18" s="125"/>
      <c r="PD18" s="125"/>
      <c r="PE18" s="125"/>
      <c r="PF18" s="125"/>
      <c r="PG18" s="125"/>
      <c r="PH18" s="125"/>
      <c r="PI18" s="125"/>
      <c r="PJ18" s="125"/>
      <c r="PK18" s="125"/>
      <c r="PL18" s="125"/>
      <c r="PM18" s="125"/>
      <c r="PN18" s="125"/>
      <c r="PO18" s="125"/>
      <c r="PP18" s="125"/>
      <c r="PQ18" s="125"/>
      <c r="PR18" s="125"/>
      <c r="PS18" s="125"/>
      <c r="PT18" s="125"/>
      <c r="PU18" s="125"/>
      <c r="PV18" s="125"/>
      <c r="PW18" s="125"/>
      <c r="PX18" s="125"/>
      <c r="PY18" s="125"/>
      <c r="PZ18" s="125"/>
      <c r="QA18" s="125"/>
      <c r="QB18" s="125"/>
      <c r="QC18" s="125"/>
      <c r="QD18" s="125"/>
      <c r="QE18" s="125"/>
      <c r="QF18" s="125"/>
      <c r="QG18" s="125"/>
      <c r="QH18" s="125"/>
      <c r="QI18" s="125"/>
      <c r="QJ18" s="125"/>
      <c r="QK18" s="125"/>
      <c r="QL18" s="125"/>
      <c r="QM18" s="125"/>
    </row>
    <row r="19" spans="1:455" s="126" customFormat="1" ht="13.5">
      <c r="A19" s="655"/>
      <c r="B19" s="656"/>
      <c r="C19" s="657" t="s">
        <v>232</v>
      </c>
      <c r="D19" s="658"/>
      <c r="E19" s="514">
        <v>1</v>
      </c>
      <c r="F19" s="661">
        <v>40</v>
      </c>
      <c r="G19" s="659">
        <f t="shared" si="0"/>
        <v>40</v>
      </c>
      <c r="H19" s="663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25"/>
      <c r="FU19" s="125"/>
      <c r="FV19" s="125"/>
      <c r="FW19" s="125"/>
      <c r="FX19" s="125"/>
      <c r="FY19" s="125"/>
      <c r="FZ19" s="125"/>
      <c r="GA19" s="125"/>
      <c r="GB19" s="125"/>
      <c r="GC19" s="125"/>
      <c r="GD19" s="125"/>
      <c r="GE19" s="125"/>
      <c r="GF19" s="125"/>
      <c r="GG19" s="125"/>
      <c r="GH19" s="125"/>
      <c r="GI19" s="125"/>
      <c r="GJ19" s="125"/>
      <c r="GK19" s="125"/>
      <c r="GL19" s="125"/>
      <c r="GM19" s="125"/>
      <c r="GN19" s="125"/>
      <c r="GO19" s="125"/>
      <c r="GP19" s="125"/>
      <c r="GQ19" s="125"/>
      <c r="GR19" s="125"/>
      <c r="GS19" s="125"/>
      <c r="GT19" s="125"/>
      <c r="GU19" s="125"/>
      <c r="GV19" s="125"/>
      <c r="GW19" s="125"/>
      <c r="GX19" s="125"/>
      <c r="GY19" s="125"/>
      <c r="GZ19" s="125"/>
      <c r="HA19" s="125"/>
      <c r="HB19" s="125"/>
      <c r="HC19" s="125"/>
      <c r="HD19" s="125"/>
      <c r="HE19" s="125"/>
      <c r="HF19" s="125"/>
      <c r="HG19" s="125"/>
      <c r="HH19" s="125"/>
      <c r="HI19" s="125"/>
      <c r="HJ19" s="125"/>
      <c r="HK19" s="125"/>
      <c r="HL19" s="125"/>
      <c r="HM19" s="125"/>
      <c r="HN19" s="125"/>
      <c r="HO19" s="125"/>
      <c r="HP19" s="125"/>
      <c r="HQ19" s="125"/>
      <c r="HR19" s="125"/>
      <c r="HS19" s="125"/>
      <c r="HT19" s="125"/>
      <c r="HU19" s="125"/>
      <c r="HV19" s="125"/>
      <c r="HW19" s="125"/>
      <c r="HX19" s="125"/>
      <c r="HY19" s="125"/>
      <c r="HZ19" s="125"/>
      <c r="IA19" s="125"/>
      <c r="IB19" s="125"/>
      <c r="IC19" s="125"/>
      <c r="ID19" s="125"/>
      <c r="IE19" s="125"/>
      <c r="IF19" s="125"/>
      <c r="IG19" s="125"/>
      <c r="IH19" s="125"/>
      <c r="II19" s="125"/>
      <c r="IJ19" s="125"/>
      <c r="IK19" s="125"/>
      <c r="IL19" s="125"/>
      <c r="IM19" s="125"/>
      <c r="IN19" s="125"/>
      <c r="IO19" s="125"/>
      <c r="IP19" s="125"/>
      <c r="IQ19" s="125"/>
      <c r="IR19" s="125"/>
      <c r="IS19" s="125"/>
      <c r="IT19" s="125"/>
      <c r="IU19" s="125"/>
      <c r="IV19" s="125"/>
      <c r="IW19" s="125"/>
      <c r="IX19" s="125"/>
      <c r="IY19" s="125"/>
      <c r="IZ19" s="125"/>
      <c r="JA19" s="125"/>
      <c r="JB19" s="125"/>
      <c r="JC19" s="125"/>
      <c r="JD19" s="125"/>
      <c r="JE19" s="125"/>
      <c r="JF19" s="125"/>
      <c r="JG19" s="125"/>
      <c r="JH19" s="125"/>
      <c r="JI19" s="125"/>
      <c r="JJ19" s="125"/>
      <c r="JK19" s="125"/>
      <c r="JL19" s="125"/>
      <c r="JM19" s="125"/>
      <c r="JN19" s="125"/>
      <c r="JO19" s="125"/>
      <c r="JP19" s="125"/>
      <c r="JQ19" s="125"/>
      <c r="JR19" s="125"/>
      <c r="JS19" s="125"/>
      <c r="JT19" s="125"/>
      <c r="JU19" s="125"/>
      <c r="JV19" s="125"/>
      <c r="JW19" s="125"/>
      <c r="JX19" s="125"/>
      <c r="JY19" s="125"/>
      <c r="JZ19" s="125"/>
      <c r="KA19" s="125"/>
      <c r="KB19" s="125"/>
      <c r="KC19" s="125"/>
      <c r="KD19" s="125"/>
      <c r="KE19" s="125"/>
      <c r="KF19" s="125"/>
      <c r="KG19" s="125"/>
      <c r="KH19" s="125"/>
      <c r="KI19" s="125"/>
      <c r="KJ19" s="125"/>
      <c r="KK19" s="125"/>
      <c r="KL19" s="125"/>
      <c r="KM19" s="125"/>
      <c r="KN19" s="125"/>
      <c r="KO19" s="125"/>
      <c r="KP19" s="125"/>
      <c r="KQ19" s="125"/>
      <c r="KR19" s="125"/>
      <c r="KS19" s="125"/>
      <c r="KT19" s="125"/>
      <c r="KU19" s="125"/>
      <c r="KV19" s="125"/>
      <c r="KW19" s="125"/>
      <c r="KX19" s="125"/>
      <c r="KY19" s="125"/>
      <c r="KZ19" s="125"/>
      <c r="LA19" s="125"/>
      <c r="LB19" s="125"/>
      <c r="LC19" s="125"/>
      <c r="LD19" s="125"/>
      <c r="LE19" s="125"/>
      <c r="LF19" s="125"/>
      <c r="LG19" s="125"/>
      <c r="LH19" s="125"/>
      <c r="LI19" s="125"/>
      <c r="LJ19" s="125"/>
      <c r="LK19" s="125"/>
      <c r="LL19" s="125"/>
      <c r="LM19" s="125"/>
      <c r="LN19" s="125"/>
      <c r="LO19" s="125"/>
      <c r="LP19" s="125"/>
      <c r="LQ19" s="125"/>
      <c r="LR19" s="125"/>
      <c r="LS19" s="125"/>
      <c r="LT19" s="125"/>
      <c r="LU19" s="125"/>
      <c r="LV19" s="125"/>
      <c r="LW19" s="125"/>
      <c r="LX19" s="125"/>
      <c r="LY19" s="125"/>
      <c r="LZ19" s="125"/>
      <c r="MA19" s="125"/>
      <c r="MB19" s="125"/>
      <c r="MC19" s="125"/>
      <c r="MD19" s="125"/>
      <c r="ME19" s="125"/>
      <c r="MF19" s="125"/>
      <c r="MG19" s="125"/>
      <c r="MH19" s="125"/>
      <c r="MI19" s="125"/>
      <c r="MJ19" s="125"/>
      <c r="MK19" s="125"/>
      <c r="ML19" s="125"/>
      <c r="MM19" s="125"/>
      <c r="MN19" s="125"/>
      <c r="MO19" s="125"/>
      <c r="MP19" s="125"/>
      <c r="MQ19" s="125"/>
      <c r="MR19" s="125"/>
      <c r="MS19" s="125"/>
      <c r="MT19" s="125"/>
      <c r="MU19" s="125"/>
      <c r="MV19" s="125"/>
      <c r="MW19" s="125"/>
      <c r="MX19" s="125"/>
      <c r="MY19" s="125"/>
      <c r="MZ19" s="125"/>
      <c r="NA19" s="125"/>
      <c r="NB19" s="125"/>
      <c r="NC19" s="125"/>
      <c r="ND19" s="125"/>
      <c r="NE19" s="125"/>
      <c r="NF19" s="125"/>
      <c r="NG19" s="125"/>
      <c r="NH19" s="125"/>
      <c r="NI19" s="125"/>
      <c r="NJ19" s="125"/>
      <c r="NK19" s="125"/>
      <c r="NL19" s="125"/>
      <c r="NM19" s="125"/>
      <c r="NN19" s="125"/>
      <c r="NO19" s="125"/>
      <c r="NP19" s="125"/>
      <c r="NQ19" s="125"/>
      <c r="NR19" s="125"/>
      <c r="NS19" s="125"/>
      <c r="NT19" s="125"/>
      <c r="NU19" s="125"/>
      <c r="NV19" s="125"/>
      <c r="NW19" s="125"/>
      <c r="NX19" s="125"/>
      <c r="NY19" s="125"/>
      <c r="NZ19" s="125"/>
      <c r="OA19" s="125"/>
      <c r="OB19" s="125"/>
      <c r="OC19" s="125"/>
      <c r="OD19" s="125"/>
      <c r="OE19" s="125"/>
      <c r="OF19" s="125"/>
      <c r="OG19" s="125"/>
      <c r="OH19" s="125"/>
      <c r="OI19" s="125"/>
      <c r="OJ19" s="125"/>
      <c r="OK19" s="125"/>
      <c r="OL19" s="125"/>
      <c r="OM19" s="125"/>
      <c r="ON19" s="125"/>
      <c r="OO19" s="125"/>
      <c r="OP19" s="125"/>
      <c r="OQ19" s="125"/>
      <c r="OR19" s="125"/>
      <c r="OS19" s="125"/>
      <c r="OT19" s="125"/>
      <c r="OU19" s="125"/>
      <c r="OV19" s="125"/>
      <c r="OW19" s="125"/>
      <c r="OX19" s="125"/>
      <c r="OY19" s="125"/>
      <c r="OZ19" s="125"/>
      <c r="PA19" s="125"/>
      <c r="PB19" s="125"/>
      <c r="PC19" s="125"/>
      <c r="PD19" s="125"/>
      <c r="PE19" s="125"/>
      <c r="PF19" s="125"/>
      <c r="PG19" s="125"/>
      <c r="PH19" s="125"/>
      <c r="PI19" s="125"/>
      <c r="PJ19" s="125"/>
      <c r="PK19" s="125"/>
      <c r="PL19" s="125"/>
      <c r="PM19" s="125"/>
      <c r="PN19" s="125"/>
      <c r="PO19" s="125"/>
      <c r="PP19" s="125"/>
      <c r="PQ19" s="125"/>
      <c r="PR19" s="125"/>
      <c r="PS19" s="125"/>
      <c r="PT19" s="125"/>
      <c r="PU19" s="125"/>
      <c r="PV19" s="125"/>
      <c r="PW19" s="125"/>
      <c r="PX19" s="125"/>
      <c r="PY19" s="125"/>
      <c r="PZ19" s="125"/>
      <c r="QA19" s="125"/>
      <c r="QB19" s="125"/>
      <c r="QC19" s="125"/>
      <c r="QD19" s="125"/>
      <c r="QE19" s="125"/>
      <c r="QF19" s="125"/>
      <c r="QG19" s="125"/>
      <c r="QH19" s="125"/>
      <c r="QI19" s="125"/>
      <c r="QJ19" s="125"/>
      <c r="QK19" s="125"/>
      <c r="QL19" s="125"/>
      <c r="QM19" s="125"/>
    </row>
    <row r="20" spans="1:455" s="126" customFormat="1" ht="13.5">
      <c r="A20" s="655"/>
      <c r="B20" s="656"/>
      <c r="C20" s="657" t="s">
        <v>233</v>
      </c>
      <c r="D20" s="658"/>
      <c r="E20" s="514">
        <v>1</v>
      </c>
      <c r="F20" s="659">
        <v>10</v>
      </c>
      <c r="G20" s="659">
        <f>E20*F20</f>
        <v>10</v>
      </c>
      <c r="H20" s="662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25"/>
      <c r="CY20" s="125"/>
      <c r="CZ20" s="125"/>
      <c r="DA20" s="125"/>
      <c r="DB20" s="125"/>
      <c r="DC20" s="125"/>
      <c r="DD20" s="125"/>
      <c r="DE20" s="125"/>
      <c r="DF20" s="125"/>
      <c r="DG20" s="125"/>
      <c r="DH20" s="125"/>
      <c r="DI20" s="125"/>
      <c r="DJ20" s="125"/>
      <c r="DK20" s="125"/>
      <c r="DL20" s="125"/>
      <c r="DM20" s="125"/>
      <c r="DN20" s="125"/>
      <c r="DO20" s="125"/>
      <c r="DP20" s="125"/>
      <c r="DQ20" s="125"/>
      <c r="DR20" s="125"/>
      <c r="DS20" s="125"/>
      <c r="DT20" s="125"/>
      <c r="DU20" s="125"/>
      <c r="DV20" s="125"/>
      <c r="DW20" s="125"/>
      <c r="DX20" s="125"/>
      <c r="DY20" s="125"/>
      <c r="DZ20" s="125"/>
      <c r="EA20" s="125"/>
      <c r="EB20" s="125"/>
      <c r="EC20" s="125"/>
      <c r="ED20" s="125"/>
      <c r="EE20" s="125"/>
      <c r="EF20" s="125"/>
      <c r="EG20" s="125"/>
      <c r="EH20" s="125"/>
      <c r="EI20" s="125"/>
      <c r="EJ20" s="125"/>
      <c r="EK20" s="125"/>
      <c r="EL20" s="125"/>
      <c r="EM20" s="125"/>
      <c r="EN20" s="125"/>
      <c r="EO20" s="125"/>
      <c r="EP20" s="125"/>
      <c r="EQ20" s="125"/>
      <c r="ER20" s="125"/>
      <c r="ES20" s="125"/>
      <c r="ET20" s="125"/>
      <c r="EU20" s="125"/>
      <c r="EV20" s="125"/>
      <c r="EW20" s="125"/>
      <c r="EX20" s="125"/>
      <c r="EY20" s="125"/>
      <c r="EZ20" s="125"/>
      <c r="FA20" s="125"/>
      <c r="FB20" s="125"/>
      <c r="FC20" s="125"/>
      <c r="FD20" s="125"/>
      <c r="FE20" s="125"/>
      <c r="FF20" s="125"/>
      <c r="FG20" s="125"/>
      <c r="FH20" s="125"/>
      <c r="FI20" s="125"/>
      <c r="FJ20" s="125"/>
      <c r="FK20" s="125"/>
      <c r="FL20" s="125"/>
      <c r="FM20" s="125"/>
      <c r="FN20" s="125"/>
      <c r="FO20" s="125"/>
      <c r="FP20" s="125"/>
      <c r="FQ20" s="125"/>
      <c r="FR20" s="125"/>
      <c r="FS20" s="125"/>
      <c r="FT20" s="125"/>
      <c r="FU20" s="125"/>
      <c r="FV20" s="125"/>
      <c r="FW20" s="125"/>
      <c r="FX20" s="125"/>
      <c r="FY20" s="125"/>
      <c r="FZ20" s="125"/>
      <c r="GA20" s="125"/>
      <c r="GB20" s="125"/>
      <c r="GC20" s="125"/>
      <c r="GD20" s="125"/>
      <c r="GE20" s="125"/>
      <c r="GF20" s="125"/>
      <c r="GG20" s="125"/>
      <c r="GH20" s="125"/>
      <c r="GI20" s="125"/>
      <c r="GJ20" s="125"/>
      <c r="GK20" s="125"/>
      <c r="GL20" s="125"/>
      <c r="GM20" s="125"/>
      <c r="GN20" s="125"/>
      <c r="GO20" s="125"/>
      <c r="GP20" s="125"/>
      <c r="GQ20" s="125"/>
      <c r="GR20" s="125"/>
      <c r="GS20" s="125"/>
      <c r="GT20" s="125"/>
      <c r="GU20" s="125"/>
      <c r="GV20" s="125"/>
      <c r="GW20" s="125"/>
      <c r="GX20" s="125"/>
      <c r="GY20" s="125"/>
      <c r="GZ20" s="125"/>
      <c r="HA20" s="125"/>
      <c r="HB20" s="125"/>
      <c r="HC20" s="125"/>
      <c r="HD20" s="125"/>
      <c r="HE20" s="125"/>
      <c r="HF20" s="125"/>
      <c r="HG20" s="125"/>
      <c r="HH20" s="125"/>
      <c r="HI20" s="125"/>
      <c r="HJ20" s="125"/>
      <c r="HK20" s="125"/>
      <c r="HL20" s="125"/>
      <c r="HM20" s="125"/>
      <c r="HN20" s="125"/>
      <c r="HO20" s="125"/>
      <c r="HP20" s="125"/>
      <c r="HQ20" s="125"/>
      <c r="HR20" s="125"/>
      <c r="HS20" s="125"/>
      <c r="HT20" s="125"/>
      <c r="HU20" s="125"/>
      <c r="HV20" s="125"/>
      <c r="HW20" s="125"/>
      <c r="HX20" s="125"/>
      <c r="HY20" s="125"/>
      <c r="HZ20" s="125"/>
      <c r="IA20" s="125"/>
      <c r="IB20" s="125"/>
      <c r="IC20" s="125"/>
      <c r="ID20" s="125"/>
      <c r="IE20" s="125"/>
      <c r="IF20" s="125"/>
      <c r="IG20" s="125"/>
      <c r="IH20" s="125"/>
      <c r="II20" s="125"/>
      <c r="IJ20" s="125"/>
      <c r="IK20" s="125"/>
      <c r="IL20" s="125"/>
      <c r="IM20" s="125"/>
      <c r="IN20" s="125"/>
      <c r="IO20" s="125"/>
      <c r="IP20" s="125"/>
      <c r="IQ20" s="125"/>
      <c r="IR20" s="125"/>
      <c r="IS20" s="125"/>
      <c r="IT20" s="125"/>
      <c r="IU20" s="125"/>
      <c r="IV20" s="125"/>
      <c r="IW20" s="125"/>
      <c r="IX20" s="125"/>
      <c r="IY20" s="125"/>
      <c r="IZ20" s="125"/>
      <c r="JA20" s="125"/>
      <c r="JB20" s="125"/>
      <c r="JC20" s="125"/>
      <c r="JD20" s="125"/>
      <c r="JE20" s="125"/>
      <c r="JF20" s="125"/>
      <c r="JG20" s="125"/>
      <c r="JH20" s="125"/>
      <c r="JI20" s="125"/>
      <c r="JJ20" s="125"/>
      <c r="JK20" s="125"/>
      <c r="JL20" s="125"/>
      <c r="JM20" s="125"/>
      <c r="JN20" s="125"/>
      <c r="JO20" s="125"/>
      <c r="JP20" s="125"/>
      <c r="JQ20" s="125"/>
      <c r="JR20" s="125"/>
      <c r="JS20" s="125"/>
      <c r="JT20" s="125"/>
      <c r="JU20" s="125"/>
      <c r="JV20" s="125"/>
      <c r="JW20" s="125"/>
      <c r="JX20" s="125"/>
      <c r="JY20" s="125"/>
      <c r="JZ20" s="125"/>
      <c r="KA20" s="125"/>
      <c r="KB20" s="125"/>
      <c r="KC20" s="125"/>
      <c r="KD20" s="125"/>
      <c r="KE20" s="125"/>
      <c r="KF20" s="125"/>
      <c r="KG20" s="125"/>
      <c r="KH20" s="125"/>
      <c r="KI20" s="125"/>
      <c r="KJ20" s="125"/>
      <c r="KK20" s="125"/>
      <c r="KL20" s="125"/>
      <c r="KM20" s="125"/>
      <c r="KN20" s="125"/>
      <c r="KO20" s="125"/>
      <c r="KP20" s="125"/>
      <c r="KQ20" s="125"/>
      <c r="KR20" s="125"/>
      <c r="KS20" s="125"/>
      <c r="KT20" s="125"/>
      <c r="KU20" s="125"/>
      <c r="KV20" s="125"/>
      <c r="KW20" s="125"/>
      <c r="KX20" s="125"/>
      <c r="KY20" s="125"/>
      <c r="KZ20" s="125"/>
      <c r="LA20" s="125"/>
      <c r="LB20" s="125"/>
      <c r="LC20" s="125"/>
      <c r="LD20" s="125"/>
      <c r="LE20" s="125"/>
      <c r="LF20" s="125"/>
      <c r="LG20" s="125"/>
      <c r="LH20" s="125"/>
      <c r="LI20" s="125"/>
      <c r="LJ20" s="125"/>
      <c r="LK20" s="125"/>
      <c r="LL20" s="125"/>
      <c r="LM20" s="125"/>
      <c r="LN20" s="125"/>
      <c r="LO20" s="125"/>
      <c r="LP20" s="125"/>
      <c r="LQ20" s="125"/>
      <c r="LR20" s="125"/>
      <c r="LS20" s="125"/>
      <c r="LT20" s="125"/>
      <c r="LU20" s="125"/>
      <c r="LV20" s="125"/>
      <c r="LW20" s="125"/>
      <c r="LX20" s="125"/>
      <c r="LY20" s="125"/>
      <c r="LZ20" s="125"/>
      <c r="MA20" s="125"/>
      <c r="MB20" s="125"/>
      <c r="MC20" s="125"/>
      <c r="MD20" s="125"/>
      <c r="ME20" s="125"/>
      <c r="MF20" s="125"/>
      <c r="MG20" s="125"/>
      <c r="MH20" s="125"/>
      <c r="MI20" s="125"/>
      <c r="MJ20" s="125"/>
      <c r="MK20" s="125"/>
      <c r="ML20" s="125"/>
      <c r="MM20" s="125"/>
      <c r="MN20" s="125"/>
      <c r="MO20" s="125"/>
      <c r="MP20" s="125"/>
      <c r="MQ20" s="125"/>
      <c r="MR20" s="125"/>
      <c r="MS20" s="125"/>
      <c r="MT20" s="125"/>
      <c r="MU20" s="125"/>
      <c r="MV20" s="125"/>
      <c r="MW20" s="125"/>
      <c r="MX20" s="125"/>
      <c r="MY20" s="125"/>
      <c r="MZ20" s="125"/>
      <c r="NA20" s="125"/>
      <c r="NB20" s="125"/>
      <c r="NC20" s="125"/>
      <c r="ND20" s="125"/>
      <c r="NE20" s="125"/>
      <c r="NF20" s="125"/>
      <c r="NG20" s="125"/>
      <c r="NH20" s="125"/>
      <c r="NI20" s="125"/>
      <c r="NJ20" s="125"/>
      <c r="NK20" s="125"/>
      <c r="NL20" s="125"/>
      <c r="NM20" s="125"/>
      <c r="NN20" s="125"/>
      <c r="NO20" s="125"/>
      <c r="NP20" s="125"/>
      <c r="NQ20" s="125"/>
      <c r="NR20" s="125"/>
      <c r="NS20" s="125"/>
      <c r="NT20" s="125"/>
      <c r="NU20" s="125"/>
      <c r="NV20" s="125"/>
      <c r="NW20" s="125"/>
      <c r="NX20" s="125"/>
      <c r="NY20" s="125"/>
      <c r="NZ20" s="125"/>
      <c r="OA20" s="125"/>
      <c r="OB20" s="125"/>
      <c r="OC20" s="125"/>
      <c r="OD20" s="125"/>
      <c r="OE20" s="125"/>
      <c r="OF20" s="125"/>
      <c r="OG20" s="125"/>
      <c r="OH20" s="125"/>
      <c r="OI20" s="125"/>
      <c r="OJ20" s="125"/>
      <c r="OK20" s="125"/>
      <c r="OL20" s="125"/>
      <c r="OM20" s="125"/>
      <c r="ON20" s="125"/>
      <c r="OO20" s="125"/>
      <c r="OP20" s="125"/>
      <c r="OQ20" s="125"/>
      <c r="OR20" s="125"/>
      <c r="OS20" s="125"/>
      <c r="OT20" s="125"/>
      <c r="OU20" s="125"/>
      <c r="OV20" s="125"/>
      <c r="OW20" s="125"/>
      <c r="OX20" s="125"/>
      <c r="OY20" s="125"/>
      <c r="OZ20" s="125"/>
      <c r="PA20" s="125"/>
      <c r="PB20" s="125"/>
      <c r="PC20" s="125"/>
      <c r="PD20" s="125"/>
      <c r="PE20" s="125"/>
      <c r="PF20" s="125"/>
      <c r="PG20" s="125"/>
      <c r="PH20" s="125"/>
      <c r="PI20" s="125"/>
      <c r="PJ20" s="125"/>
      <c r="PK20" s="125"/>
      <c r="PL20" s="125"/>
      <c r="PM20" s="125"/>
      <c r="PN20" s="125"/>
      <c r="PO20" s="125"/>
      <c r="PP20" s="125"/>
      <c r="PQ20" s="125"/>
      <c r="PR20" s="125"/>
      <c r="PS20" s="125"/>
      <c r="PT20" s="125"/>
      <c r="PU20" s="125"/>
      <c r="PV20" s="125"/>
      <c r="PW20" s="125"/>
      <c r="PX20" s="125"/>
      <c r="PY20" s="125"/>
      <c r="PZ20" s="125"/>
      <c r="QA20" s="125"/>
      <c r="QB20" s="125"/>
      <c r="QC20" s="125"/>
      <c r="QD20" s="125"/>
      <c r="QE20" s="125"/>
      <c r="QF20" s="125"/>
      <c r="QG20" s="125"/>
      <c r="QH20" s="125"/>
      <c r="QI20" s="125"/>
      <c r="QJ20" s="125"/>
      <c r="QK20" s="125"/>
      <c r="QL20" s="125"/>
      <c r="QM20" s="125"/>
    </row>
    <row r="21" spans="1:455" s="122" customFormat="1" ht="13.5">
      <c r="A21" s="655"/>
      <c r="B21" s="656"/>
      <c r="C21" s="657" t="s">
        <v>234</v>
      </c>
      <c r="D21" s="658"/>
      <c r="E21" s="489">
        <v>1</v>
      </c>
      <c r="F21" s="659">
        <v>100</v>
      </c>
      <c r="G21" s="514">
        <f t="shared" si="0"/>
        <v>100</v>
      </c>
      <c r="H21" s="664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  <c r="CW21" s="125"/>
      <c r="CX21" s="125"/>
      <c r="CY21" s="125"/>
      <c r="CZ21" s="125"/>
      <c r="DA21" s="125"/>
      <c r="DB21" s="125"/>
      <c r="DC21" s="125"/>
      <c r="DD21" s="125"/>
      <c r="DE21" s="125"/>
      <c r="DF21" s="125"/>
      <c r="DG21" s="125"/>
      <c r="DH21" s="125"/>
      <c r="DI21" s="125"/>
      <c r="DJ21" s="125"/>
      <c r="DK21" s="125"/>
      <c r="DL21" s="125"/>
      <c r="DM21" s="125"/>
      <c r="DN21" s="125"/>
      <c r="DO21" s="125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25"/>
      <c r="FV21" s="125"/>
      <c r="FW21" s="125"/>
      <c r="FX21" s="125"/>
      <c r="FY21" s="125"/>
      <c r="FZ21" s="125"/>
      <c r="GA21" s="125"/>
      <c r="GB21" s="125"/>
      <c r="GC21" s="125"/>
      <c r="GD21" s="125"/>
      <c r="GE21" s="125"/>
      <c r="GF21" s="125"/>
      <c r="GG21" s="125"/>
      <c r="GH21" s="125"/>
      <c r="GI21" s="125"/>
      <c r="GJ21" s="125"/>
      <c r="GK21" s="125"/>
      <c r="GL21" s="125"/>
      <c r="GM21" s="125"/>
      <c r="GN21" s="125"/>
      <c r="GO21" s="125"/>
      <c r="GP21" s="125"/>
      <c r="GQ21" s="125"/>
      <c r="GR21" s="125"/>
      <c r="GS21" s="125"/>
      <c r="GT21" s="125"/>
      <c r="GU21" s="125"/>
      <c r="GV21" s="125"/>
      <c r="GW21" s="125"/>
      <c r="GX21" s="125"/>
      <c r="GY21" s="125"/>
      <c r="GZ21" s="125"/>
      <c r="HA21" s="125"/>
      <c r="HB21" s="125"/>
      <c r="HC21" s="125"/>
      <c r="HD21" s="125"/>
      <c r="HE21" s="125"/>
      <c r="HF21" s="125"/>
      <c r="HG21" s="125"/>
      <c r="HH21" s="125"/>
      <c r="HI21" s="125"/>
      <c r="HJ21" s="125"/>
      <c r="HK21" s="125"/>
      <c r="HL21" s="125"/>
      <c r="HM21" s="125"/>
      <c r="HN21" s="125"/>
      <c r="HO21" s="125"/>
      <c r="HP21" s="125"/>
      <c r="HQ21" s="125"/>
      <c r="HR21" s="125"/>
      <c r="HS21" s="125"/>
      <c r="HT21" s="125"/>
      <c r="HU21" s="125"/>
      <c r="HV21" s="125"/>
      <c r="HW21" s="125"/>
      <c r="HX21" s="125"/>
      <c r="HY21" s="125"/>
      <c r="HZ21" s="125"/>
      <c r="IA21" s="125"/>
      <c r="IB21" s="125"/>
      <c r="IC21" s="125"/>
      <c r="ID21" s="125"/>
      <c r="IE21" s="125"/>
      <c r="IF21" s="125"/>
      <c r="IG21" s="125"/>
      <c r="IH21" s="125"/>
      <c r="II21" s="125"/>
      <c r="IJ21" s="125"/>
      <c r="IK21" s="125"/>
      <c r="IL21" s="125"/>
      <c r="IM21" s="125"/>
      <c r="IN21" s="125"/>
      <c r="IO21" s="125"/>
      <c r="IP21" s="125"/>
      <c r="IQ21" s="125"/>
      <c r="IR21" s="125"/>
      <c r="IS21" s="125"/>
      <c r="IT21" s="125"/>
      <c r="IU21" s="125"/>
      <c r="IV21" s="125"/>
      <c r="IW21" s="125"/>
      <c r="IX21" s="125"/>
      <c r="IY21" s="125"/>
      <c r="IZ21" s="125"/>
      <c r="JA21" s="125"/>
      <c r="JB21" s="125"/>
      <c r="JC21" s="125"/>
      <c r="JD21" s="125"/>
      <c r="JE21" s="125"/>
      <c r="JF21" s="125"/>
      <c r="JG21" s="125"/>
      <c r="JH21" s="125"/>
      <c r="JI21" s="125"/>
      <c r="JJ21" s="125"/>
      <c r="JK21" s="125"/>
      <c r="JL21" s="125"/>
      <c r="JM21" s="125"/>
      <c r="JN21" s="125"/>
      <c r="JO21" s="125"/>
      <c r="JP21" s="125"/>
      <c r="JQ21" s="125"/>
      <c r="JR21" s="125"/>
      <c r="JS21" s="125"/>
      <c r="JT21" s="125"/>
      <c r="JU21" s="125"/>
      <c r="JV21" s="125"/>
      <c r="JW21" s="125"/>
      <c r="JX21" s="125"/>
      <c r="JY21" s="125"/>
      <c r="JZ21" s="125"/>
      <c r="KA21" s="125"/>
      <c r="KB21" s="125"/>
      <c r="KC21" s="125"/>
      <c r="KD21" s="125"/>
      <c r="KE21" s="125"/>
      <c r="KF21" s="125"/>
      <c r="KG21" s="125"/>
      <c r="KH21" s="125"/>
      <c r="KI21" s="125"/>
      <c r="KJ21" s="125"/>
      <c r="KK21" s="125"/>
      <c r="KL21" s="125"/>
      <c r="KM21" s="125"/>
      <c r="KN21" s="125"/>
      <c r="KO21" s="125"/>
      <c r="KP21" s="125"/>
      <c r="KQ21" s="125"/>
      <c r="KR21" s="125"/>
      <c r="KS21" s="125"/>
      <c r="KT21" s="125"/>
      <c r="KU21" s="125"/>
      <c r="KV21" s="125"/>
      <c r="KW21" s="125"/>
      <c r="KX21" s="125"/>
      <c r="KY21" s="125"/>
      <c r="KZ21" s="125"/>
      <c r="LA21" s="125"/>
      <c r="LB21" s="125"/>
      <c r="LC21" s="125"/>
      <c r="LD21" s="125"/>
      <c r="LE21" s="125"/>
      <c r="LF21" s="125"/>
      <c r="LG21" s="125"/>
      <c r="LH21" s="125"/>
      <c r="LI21" s="125"/>
      <c r="LJ21" s="125"/>
      <c r="LK21" s="125"/>
      <c r="LL21" s="125"/>
      <c r="LM21" s="125"/>
      <c r="LN21" s="125"/>
      <c r="LO21" s="125"/>
      <c r="LP21" s="125"/>
      <c r="LQ21" s="125"/>
      <c r="LR21" s="125"/>
      <c r="LS21" s="125"/>
      <c r="LT21" s="125"/>
      <c r="LU21" s="125"/>
      <c r="LV21" s="125"/>
      <c r="LW21" s="125"/>
      <c r="LX21" s="125"/>
      <c r="LY21" s="125"/>
      <c r="LZ21" s="125"/>
      <c r="MA21" s="125"/>
      <c r="MB21" s="125"/>
      <c r="MC21" s="125"/>
      <c r="MD21" s="125"/>
      <c r="ME21" s="125"/>
      <c r="MF21" s="125"/>
      <c r="MG21" s="125"/>
      <c r="MH21" s="125"/>
      <c r="MI21" s="125"/>
      <c r="MJ21" s="125"/>
      <c r="MK21" s="125"/>
      <c r="ML21" s="125"/>
      <c r="MM21" s="125"/>
      <c r="MN21" s="125"/>
      <c r="MO21" s="125"/>
      <c r="MP21" s="125"/>
      <c r="MQ21" s="125"/>
      <c r="MR21" s="125"/>
      <c r="MS21" s="125"/>
      <c r="MT21" s="125"/>
      <c r="MU21" s="125"/>
      <c r="MV21" s="125"/>
      <c r="MW21" s="125"/>
      <c r="MX21" s="125"/>
      <c r="MY21" s="125"/>
      <c r="MZ21" s="125"/>
      <c r="NA21" s="125"/>
      <c r="NB21" s="125"/>
      <c r="NC21" s="125"/>
      <c r="ND21" s="125"/>
      <c r="NE21" s="125"/>
      <c r="NF21" s="125"/>
      <c r="NG21" s="125"/>
      <c r="NH21" s="125"/>
      <c r="NI21" s="125"/>
      <c r="NJ21" s="125"/>
      <c r="NK21" s="125"/>
      <c r="NL21" s="125"/>
      <c r="NM21" s="125"/>
      <c r="NN21" s="125"/>
      <c r="NO21" s="125"/>
      <c r="NP21" s="125"/>
      <c r="NQ21" s="125"/>
      <c r="NR21" s="125"/>
      <c r="NS21" s="125"/>
      <c r="NT21" s="125"/>
      <c r="NU21" s="125"/>
      <c r="NV21" s="125"/>
      <c r="NW21" s="125"/>
      <c r="NX21" s="125"/>
      <c r="NY21" s="125"/>
      <c r="NZ21" s="125"/>
      <c r="OA21" s="125"/>
      <c r="OB21" s="125"/>
      <c r="OC21" s="125"/>
      <c r="OD21" s="125"/>
      <c r="OE21" s="125"/>
      <c r="OF21" s="125"/>
      <c r="OG21" s="125"/>
      <c r="OH21" s="125"/>
      <c r="OI21" s="125"/>
      <c r="OJ21" s="125"/>
      <c r="OK21" s="125"/>
      <c r="OL21" s="125"/>
      <c r="OM21" s="125"/>
      <c r="ON21" s="125"/>
      <c r="OO21" s="125"/>
      <c r="OP21" s="125"/>
      <c r="OQ21" s="125"/>
      <c r="OR21" s="125"/>
      <c r="OS21" s="125"/>
      <c r="OT21" s="125"/>
      <c r="OU21" s="125"/>
      <c r="OV21" s="125"/>
      <c r="OW21" s="125"/>
      <c r="OX21" s="125"/>
      <c r="OY21" s="125"/>
      <c r="OZ21" s="125"/>
      <c r="PA21" s="125"/>
      <c r="PB21" s="125"/>
      <c r="PC21" s="125"/>
      <c r="PD21" s="125"/>
      <c r="PE21" s="125"/>
      <c r="PF21" s="125"/>
      <c r="PG21" s="125"/>
      <c r="PH21" s="125"/>
      <c r="PI21" s="125"/>
      <c r="PJ21" s="125"/>
      <c r="PK21" s="125"/>
      <c r="PL21" s="125"/>
      <c r="PM21" s="125"/>
      <c r="PN21" s="125"/>
      <c r="PO21" s="125"/>
      <c r="PP21" s="125"/>
      <c r="PQ21" s="125"/>
      <c r="PR21" s="125"/>
      <c r="PS21" s="125"/>
      <c r="PT21" s="125"/>
      <c r="PU21" s="125"/>
      <c r="PV21" s="125"/>
      <c r="PW21" s="125"/>
      <c r="PX21" s="125"/>
      <c r="PY21" s="125"/>
      <c r="PZ21" s="125"/>
      <c r="QA21" s="125"/>
      <c r="QB21" s="125"/>
      <c r="QC21" s="125"/>
      <c r="QD21" s="125"/>
      <c r="QE21" s="125"/>
      <c r="QF21" s="125"/>
      <c r="QG21" s="125"/>
      <c r="QH21" s="125"/>
      <c r="QI21" s="125"/>
      <c r="QJ21" s="125"/>
      <c r="QK21" s="125"/>
      <c r="QL21" s="125"/>
      <c r="QM21" s="125"/>
    </row>
    <row r="22" spans="1:455" s="122" customFormat="1" ht="13.5">
      <c r="A22" s="655"/>
      <c r="B22" s="656"/>
      <c r="C22" s="657" t="s">
        <v>235</v>
      </c>
      <c r="D22" s="658"/>
      <c r="E22" s="514">
        <v>0</v>
      </c>
      <c r="F22" s="659">
        <v>40</v>
      </c>
      <c r="G22" s="514">
        <f>E22*F22</f>
        <v>0</v>
      </c>
      <c r="H22" s="488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  <c r="DQ22" s="125"/>
      <c r="DR22" s="125"/>
      <c r="DS22" s="125"/>
      <c r="DT22" s="125"/>
      <c r="DU22" s="125"/>
      <c r="DV22" s="125"/>
      <c r="DW22" s="125"/>
      <c r="DX22" s="125"/>
      <c r="DY22" s="125"/>
      <c r="DZ22" s="125"/>
      <c r="EA22" s="125"/>
      <c r="EB22" s="125"/>
      <c r="EC22" s="125"/>
      <c r="ED22" s="125"/>
      <c r="EE22" s="125"/>
      <c r="EF22" s="125"/>
      <c r="EG22" s="125"/>
      <c r="EH22" s="125"/>
      <c r="EI22" s="125"/>
      <c r="EJ22" s="125"/>
      <c r="EK22" s="125"/>
      <c r="EL22" s="125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125"/>
      <c r="EX22" s="125"/>
      <c r="EY22" s="125"/>
      <c r="EZ22" s="125"/>
      <c r="FA22" s="125"/>
      <c r="FB22" s="125"/>
      <c r="FC22" s="125"/>
      <c r="FD22" s="125"/>
      <c r="FE22" s="125"/>
      <c r="FF22" s="125"/>
      <c r="FG22" s="125"/>
      <c r="FH22" s="125"/>
      <c r="FI22" s="125"/>
      <c r="FJ22" s="125"/>
      <c r="FK22" s="125"/>
      <c r="FL22" s="125"/>
      <c r="FM22" s="125"/>
      <c r="FN22" s="125"/>
      <c r="FO22" s="125"/>
      <c r="FP22" s="125"/>
      <c r="FQ22" s="125"/>
      <c r="FR22" s="125"/>
      <c r="FS22" s="125"/>
      <c r="FT22" s="125"/>
      <c r="FU22" s="125"/>
      <c r="FV22" s="125"/>
      <c r="FW22" s="125"/>
      <c r="FX22" s="125"/>
      <c r="FY22" s="125"/>
      <c r="FZ22" s="125"/>
      <c r="GA22" s="125"/>
      <c r="GB22" s="125"/>
      <c r="GC22" s="125"/>
      <c r="GD22" s="125"/>
      <c r="GE22" s="125"/>
      <c r="GF22" s="125"/>
      <c r="GG22" s="125"/>
      <c r="GH22" s="125"/>
      <c r="GI22" s="125"/>
      <c r="GJ22" s="125"/>
      <c r="GK22" s="125"/>
      <c r="GL22" s="125"/>
      <c r="GM22" s="125"/>
      <c r="GN22" s="125"/>
      <c r="GO22" s="125"/>
      <c r="GP22" s="125"/>
      <c r="GQ22" s="125"/>
      <c r="GR22" s="125"/>
      <c r="GS22" s="125"/>
      <c r="GT22" s="125"/>
      <c r="GU22" s="125"/>
      <c r="GV22" s="125"/>
      <c r="GW22" s="125"/>
      <c r="GX22" s="125"/>
      <c r="GY22" s="125"/>
      <c r="GZ22" s="125"/>
      <c r="HA22" s="125"/>
      <c r="HB22" s="125"/>
      <c r="HC22" s="125"/>
      <c r="HD22" s="125"/>
      <c r="HE22" s="125"/>
      <c r="HF22" s="125"/>
      <c r="HG22" s="125"/>
      <c r="HH22" s="125"/>
      <c r="HI22" s="125"/>
      <c r="HJ22" s="125"/>
      <c r="HK22" s="125"/>
      <c r="HL22" s="125"/>
      <c r="HM22" s="125"/>
      <c r="HN22" s="125"/>
      <c r="HO22" s="125"/>
      <c r="HP22" s="125"/>
      <c r="HQ22" s="125"/>
      <c r="HR22" s="125"/>
      <c r="HS22" s="125"/>
      <c r="HT22" s="125"/>
      <c r="HU22" s="125"/>
      <c r="HV22" s="125"/>
      <c r="HW22" s="125"/>
      <c r="HX22" s="125"/>
      <c r="HY22" s="125"/>
      <c r="HZ22" s="125"/>
      <c r="IA22" s="125"/>
      <c r="IB22" s="125"/>
      <c r="IC22" s="125"/>
      <c r="ID22" s="125"/>
      <c r="IE22" s="125"/>
      <c r="IF22" s="125"/>
      <c r="IG22" s="125"/>
      <c r="IH22" s="125"/>
      <c r="II22" s="125"/>
      <c r="IJ22" s="125"/>
      <c r="IK22" s="125"/>
      <c r="IL22" s="125"/>
      <c r="IM22" s="125"/>
      <c r="IN22" s="125"/>
      <c r="IO22" s="125"/>
      <c r="IP22" s="125"/>
      <c r="IQ22" s="125"/>
      <c r="IR22" s="125"/>
      <c r="IS22" s="125"/>
      <c r="IT22" s="125"/>
      <c r="IU22" s="125"/>
      <c r="IV22" s="125"/>
      <c r="IW22" s="125"/>
      <c r="IX22" s="125"/>
      <c r="IY22" s="125"/>
      <c r="IZ22" s="125"/>
      <c r="JA22" s="125"/>
      <c r="JB22" s="125"/>
      <c r="JC22" s="125"/>
      <c r="JD22" s="125"/>
      <c r="JE22" s="125"/>
      <c r="JF22" s="125"/>
      <c r="JG22" s="125"/>
      <c r="JH22" s="125"/>
      <c r="JI22" s="125"/>
      <c r="JJ22" s="125"/>
      <c r="JK22" s="125"/>
      <c r="JL22" s="125"/>
      <c r="JM22" s="125"/>
      <c r="JN22" s="125"/>
      <c r="JO22" s="125"/>
      <c r="JP22" s="125"/>
      <c r="JQ22" s="125"/>
      <c r="JR22" s="125"/>
      <c r="JS22" s="125"/>
      <c r="JT22" s="125"/>
      <c r="JU22" s="125"/>
      <c r="JV22" s="125"/>
      <c r="JW22" s="125"/>
      <c r="JX22" s="125"/>
      <c r="JY22" s="125"/>
      <c r="JZ22" s="125"/>
      <c r="KA22" s="125"/>
      <c r="KB22" s="125"/>
      <c r="KC22" s="125"/>
      <c r="KD22" s="125"/>
      <c r="KE22" s="125"/>
      <c r="KF22" s="125"/>
      <c r="KG22" s="125"/>
      <c r="KH22" s="125"/>
      <c r="KI22" s="125"/>
      <c r="KJ22" s="125"/>
      <c r="KK22" s="125"/>
      <c r="KL22" s="125"/>
      <c r="KM22" s="125"/>
      <c r="KN22" s="125"/>
      <c r="KO22" s="125"/>
      <c r="KP22" s="125"/>
      <c r="KQ22" s="125"/>
      <c r="KR22" s="125"/>
      <c r="KS22" s="125"/>
      <c r="KT22" s="125"/>
      <c r="KU22" s="125"/>
      <c r="KV22" s="125"/>
      <c r="KW22" s="125"/>
      <c r="KX22" s="125"/>
      <c r="KY22" s="125"/>
      <c r="KZ22" s="125"/>
      <c r="LA22" s="125"/>
      <c r="LB22" s="125"/>
      <c r="LC22" s="125"/>
      <c r="LD22" s="125"/>
      <c r="LE22" s="125"/>
      <c r="LF22" s="125"/>
      <c r="LG22" s="125"/>
      <c r="LH22" s="125"/>
      <c r="LI22" s="125"/>
      <c r="LJ22" s="125"/>
      <c r="LK22" s="125"/>
      <c r="LL22" s="125"/>
      <c r="LM22" s="125"/>
      <c r="LN22" s="125"/>
      <c r="LO22" s="125"/>
      <c r="LP22" s="125"/>
      <c r="LQ22" s="125"/>
      <c r="LR22" s="125"/>
      <c r="LS22" s="125"/>
      <c r="LT22" s="125"/>
      <c r="LU22" s="125"/>
      <c r="LV22" s="125"/>
      <c r="LW22" s="125"/>
      <c r="LX22" s="125"/>
      <c r="LY22" s="125"/>
      <c r="LZ22" s="125"/>
      <c r="MA22" s="125"/>
      <c r="MB22" s="125"/>
      <c r="MC22" s="125"/>
      <c r="MD22" s="125"/>
      <c r="ME22" s="125"/>
      <c r="MF22" s="125"/>
      <c r="MG22" s="125"/>
      <c r="MH22" s="125"/>
      <c r="MI22" s="125"/>
      <c r="MJ22" s="125"/>
      <c r="MK22" s="125"/>
      <c r="ML22" s="125"/>
      <c r="MM22" s="125"/>
      <c r="MN22" s="125"/>
      <c r="MO22" s="125"/>
      <c r="MP22" s="125"/>
      <c r="MQ22" s="125"/>
      <c r="MR22" s="125"/>
      <c r="MS22" s="125"/>
      <c r="MT22" s="125"/>
      <c r="MU22" s="125"/>
      <c r="MV22" s="125"/>
      <c r="MW22" s="125"/>
      <c r="MX22" s="125"/>
      <c r="MY22" s="125"/>
      <c r="MZ22" s="125"/>
      <c r="NA22" s="125"/>
      <c r="NB22" s="125"/>
      <c r="NC22" s="125"/>
      <c r="ND22" s="125"/>
      <c r="NE22" s="125"/>
      <c r="NF22" s="125"/>
      <c r="NG22" s="125"/>
      <c r="NH22" s="125"/>
      <c r="NI22" s="125"/>
      <c r="NJ22" s="125"/>
      <c r="NK22" s="125"/>
      <c r="NL22" s="125"/>
      <c r="NM22" s="125"/>
      <c r="NN22" s="125"/>
      <c r="NO22" s="125"/>
      <c r="NP22" s="125"/>
      <c r="NQ22" s="125"/>
      <c r="NR22" s="125"/>
      <c r="NS22" s="125"/>
      <c r="NT22" s="125"/>
      <c r="NU22" s="125"/>
      <c r="NV22" s="125"/>
      <c r="NW22" s="125"/>
      <c r="NX22" s="125"/>
      <c r="NY22" s="125"/>
      <c r="NZ22" s="125"/>
      <c r="OA22" s="125"/>
      <c r="OB22" s="125"/>
      <c r="OC22" s="125"/>
      <c r="OD22" s="125"/>
      <c r="OE22" s="125"/>
      <c r="OF22" s="125"/>
      <c r="OG22" s="125"/>
      <c r="OH22" s="125"/>
      <c r="OI22" s="125"/>
      <c r="OJ22" s="125"/>
      <c r="OK22" s="125"/>
      <c r="OL22" s="125"/>
      <c r="OM22" s="125"/>
      <c r="ON22" s="125"/>
      <c r="OO22" s="125"/>
      <c r="OP22" s="125"/>
      <c r="OQ22" s="125"/>
      <c r="OR22" s="125"/>
      <c r="OS22" s="125"/>
      <c r="OT22" s="125"/>
      <c r="OU22" s="125"/>
      <c r="OV22" s="125"/>
      <c r="OW22" s="125"/>
      <c r="OX22" s="125"/>
      <c r="OY22" s="125"/>
      <c r="OZ22" s="125"/>
      <c r="PA22" s="125"/>
      <c r="PB22" s="125"/>
      <c r="PC22" s="125"/>
      <c r="PD22" s="125"/>
      <c r="PE22" s="125"/>
      <c r="PF22" s="125"/>
      <c r="PG22" s="125"/>
      <c r="PH22" s="125"/>
      <c r="PI22" s="125"/>
      <c r="PJ22" s="125"/>
      <c r="PK22" s="125"/>
      <c r="PL22" s="125"/>
      <c r="PM22" s="125"/>
      <c r="PN22" s="125"/>
      <c r="PO22" s="125"/>
      <c r="PP22" s="125"/>
      <c r="PQ22" s="125"/>
      <c r="PR22" s="125"/>
      <c r="PS22" s="125"/>
      <c r="PT22" s="125"/>
      <c r="PU22" s="125"/>
      <c r="PV22" s="125"/>
      <c r="PW22" s="125"/>
      <c r="PX22" s="125"/>
      <c r="PY22" s="125"/>
      <c r="PZ22" s="125"/>
      <c r="QA22" s="125"/>
      <c r="QB22" s="125"/>
      <c r="QC22" s="125"/>
      <c r="QD22" s="125"/>
      <c r="QE22" s="125"/>
      <c r="QF22" s="125"/>
      <c r="QG22" s="125"/>
      <c r="QH22" s="125"/>
      <c r="QI22" s="125"/>
      <c r="QJ22" s="125"/>
      <c r="QK22" s="125"/>
      <c r="QL22" s="125"/>
      <c r="QM22" s="125"/>
    </row>
    <row r="23" spans="1:455" s="126" customFormat="1" ht="13.5">
      <c r="A23" s="655"/>
      <c r="B23" s="656"/>
      <c r="C23" s="665" t="s">
        <v>36</v>
      </c>
      <c r="D23" s="658"/>
      <c r="E23" s="489">
        <v>1</v>
      </c>
      <c r="F23" s="659">
        <v>60</v>
      </c>
      <c r="G23" s="514">
        <f t="shared" si="0"/>
        <v>60</v>
      </c>
      <c r="H23" s="662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125"/>
      <c r="DN23" s="125"/>
      <c r="DO23" s="125"/>
      <c r="DP23" s="125"/>
      <c r="DQ23" s="125"/>
      <c r="DR23" s="125"/>
      <c r="DS23" s="125"/>
      <c r="DT23" s="125"/>
      <c r="DU23" s="125"/>
      <c r="DV23" s="125"/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25"/>
      <c r="FV23" s="125"/>
      <c r="FW23" s="125"/>
      <c r="FX23" s="125"/>
      <c r="FY23" s="125"/>
      <c r="FZ23" s="125"/>
      <c r="GA23" s="125"/>
      <c r="GB23" s="125"/>
      <c r="GC23" s="125"/>
      <c r="GD23" s="125"/>
      <c r="GE23" s="125"/>
      <c r="GF23" s="125"/>
      <c r="GG23" s="125"/>
      <c r="GH23" s="125"/>
      <c r="GI23" s="125"/>
      <c r="GJ23" s="125"/>
      <c r="GK23" s="125"/>
      <c r="GL23" s="125"/>
      <c r="GM23" s="125"/>
      <c r="GN23" s="125"/>
      <c r="GO23" s="125"/>
      <c r="GP23" s="125"/>
      <c r="GQ23" s="125"/>
      <c r="GR23" s="125"/>
      <c r="GS23" s="125"/>
      <c r="GT23" s="125"/>
      <c r="GU23" s="125"/>
      <c r="GV23" s="125"/>
      <c r="GW23" s="125"/>
      <c r="GX23" s="125"/>
      <c r="GY23" s="125"/>
      <c r="GZ23" s="125"/>
      <c r="HA23" s="125"/>
      <c r="HB23" s="125"/>
      <c r="HC23" s="125"/>
      <c r="HD23" s="125"/>
      <c r="HE23" s="125"/>
      <c r="HF23" s="125"/>
      <c r="HG23" s="125"/>
      <c r="HH23" s="125"/>
      <c r="HI23" s="125"/>
      <c r="HJ23" s="125"/>
      <c r="HK23" s="125"/>
      <c r="HL23" s="125"/>
      <c r="HM23" s="125"/>
      <c r="HN23" s="125"/>
      <c r="HO23" s="125"/>
      <c r="HP23" s="125"/>
      <c r="HQ23" s="125"/>
      <c r="HR23" s="125"/>
      <c r="HS23" s="125"/>
      <c r="HT23" s="125"/>
      <c r="HU23" s="125"/>
      <c r="HV23" s="125"/>
      <c r="HW23" s="125"/>
      <c r="HX23" s="125"/>
      <c r="HY23" s="125"/>
      <c r="HZ23" s="125"/>
      <c r="IA23" s="125"/>
      <c r="IB23" s="125"/>
      <c r="IC23" s="125"/>
      <c r="ID23" s="125"/>
      <c r="IE23" s="125"/>
      <c r="IF23" s="125"/>
      <c r="IG23" s="125"/>
      <c r="IH23" s="125"/>
      <c r="II23" s="125"/>
      <c r="IJ23" s="125"/>
      <c r="IK23" s="125"/>
      <c r="IL23" s="125"/>
      <c r="IM23" s="125"/>
      <c r="IN23" s="125"/>
      <c r="IO23" s="125"/>
      <c r="IP23" s="125"/>
      <c r="IQ23" s="125"/>
      <c r="IR23" s="125"/>
      <c r="IS23" s="125"/>
      <c r="IT23" s="125"/>
      <c r="IU23" s="125"/>
      <c r="IV23" s="125"/>
      <c r="IW23" s="125"/>
      <c r="IX23" s="125"/>
      <c r="IY23" s="125"/>
      <c r="IZ23" s="125"/>
      <c r="JA23" s="125"/>
      <c r="JB23" s="125"/>
      <c r="JC23" s="125"/>
      <c r="JD23" s="125"/>
      <c r="JE23" s="125"/>
      <c r="JF23" s="125"/>
      <c r="JG23" s="125"/>
      <c r="JH23" s="125"/>
      <c r="JI23" s="125"/>
      <c r="JJ23" s="125"/>
      <c r="JK23" s="125"/>
      <c r="JL23" s="125"/>
      <c r="JM23" s="125"/>
      <c r="JN23" s="125"/>
      <c r="JO23" s="125"/>
      <c r="JP23" s="125"/>
      <c r="JQ23" s="125"/>
      <c r="JR23" s="125"/>
      <c r="JS23" s="125"/>
      <c r="JT23" s="125"/>
      <c r="JU23" s="125"/>
      <c r="JV23" s="125"/>
      <c r="JW23" s="125"/>
      <c r="JX23" s="125"/>
      <c r="JY23" s="125"/>
      <c r="JZ23" s="125"/>
      <c r="KA23" s="125"/>
      <c r="KB23" s="125"/>
      <c r="KC23" s="125"/>
      <c r="KD23" s="125"/>
      <c r="KE23" s="125"/>
      <c r="KF23" s="125"/>
      <c r="KG23" s="125"/>
      <c r="KH23" s="125"/>
      <c r="KI23" s="125"/>
      <c r="KJ23" s="125"/>
      <c r="KK23" s="125"/>
      <c r="KL23" s="125"/>
      <c r="KM23" s="125"/>
      <c r="KN23" s="125"/>
      <c r="KO23" s="125"/>
      <c r="KP23" s="125"/>
      <c r="KQ23" s="125"/>
      <c r="KR23" s="125"/>
      <c r="KS23" s="125"/>
      <c r="KT23" s="125"/>
      <c r="KU23" s="125"/>
      <c r="KV23" s="125"/>
      <c r="KW23" s="125"/>
      <c r="KX23" s="125"/>
      <c r="KY23" s="125"/>
      <c r="KZ23" s="125"/>
      <c r="LA23" s="125"/>
      <c r="LB23" s="125"/>
      <c r="LC23" s="125"/>
      <c r="LD23" s="125"/>
      <c r="LE23" s="125"/>
      <c r="LF23" s="125"/>
      <c r="LG23" s="125"/>
      <c r="LH23" s="125"/>
      <c r="LI23" s="125"/>
      <c r="LJ23" s="125"/>
      <c r="LK23" s="125"/>
      <c r="LL23" s="125"/>
      <c r="LM23" s="125"/>
      <c r="LN23" s="125"/>
      <c r="LO23" s="125"/>
      <c r="LP23" s="125"/>
      <c r="LQ23" s="125"/>
      <c r="LR23" s="125"/>
      <c r="LS23" s="125"/>
      <c r="LT23" s="125"/>
      <c r="LU23" s="125"/>
      <c r="LV23" s="125"/>
      <c r="LW23" s="125"/>
      <c r="LX23" s="125"/>
      <c r="LY23" s="125"/>
      <c r="LZ23" s="125"/>
      <c r="MA23" s="125"/>
      <c r="MB23" s="125"/>
      <c r="MC23" s="125"/>
      <c r="MD23" s="125"/>
      <c r="ME23" s="125"/>
      <c r="MF23" s="125"/>
      <c r="MG23" s="125"/>
      <c r="MH23" s="125"/>
      <c r="MI23" s="125"/>
      <c r="MJ23" s="125"/>
      <c r="MK23" s="125"/>
      <c r="ML23" s="125"/>
      <c r="MM23" s="125"/>
      <c r="MN23" s="125"/>
      <c r="MO23" s="125"/>
      <c r="MP23" s="125"/>
      <c r="MQ23" s="125"/>
      <c r="MR23" s="125"/>
      <c r="MS23" s="125"/>
      <c r="MT23" s="125"/>
      <c r="MU23" s="125"/>
      <c r="MV23" s="125"/>
      <c r="MW23" s="125"/>
      <c r="MX23" s="125"/>
      <c r="MY23" s="125"/>
      <c r="MZ23" s="125"/>
      <c r="NA23" s="125"/>
      <c r="NB23" s="125"/>
      <c r="NC23" s="125"/>
      <c r="ND23" s="125"/>
      <c r="NE23" s="125"/>
      <c r="NF23" s="125"/>
      <c r="NG23" s="125"/>
      <c r="NH23" s="125"/>
      <c r="NI23" s="125"/>
      <c r="NJ23" s="125"/>
      <c r="NK23" s="125"/>
      <c r="NL23" s="125"/>
      <c r="NM23" s="125"/>
      <c r="NN23" s="125"/>
      <c r="NO23" s="125"/>
      <c r="NP23" s="125"/>
      <c r="NQ23" s="125"/>
      <c r="NR23" s="125"/>
      <c r="NS23" s="125"/>
      <c r="NT23" s="125"/>
      <c r="NU23" s="125"/>
      <c r="NV23" s="125"/>
      <c r="NW23" s="125"/>
      <c r="NX23" s="125"/>
      <c r="NY23" s="125"/>
      <c r="NZ23" s="125"/>
      <c r="OA23" s="125"/>
      <c r="OB23" s="125"/>
      <c r="OC23" s="125"/>
      <c r="OD23" s="125"/>
      <c r="OE23" s="125"/>
      <c r="OF23" s="125"/>
      <c r="OG23" s="125"/>
      <c r="OH23" s="125"/>
      <c r="OI23" s="125"/>
      <c r="OJ23" s="125"/>
      <c r="OK23" s="125"/>
      <c r="OL23" s="125"/>
      <c r="OM23" s="125"/>
      <c r="ON23" s="125"/>
      <c r="OO23" s="125"/>
      <c r="OP23" s="125"/>
      <c r="OQ23" s="125"/>
      <c r="OR23" s="125"/>
      <c r="OS23" s="125"/>
      <c r="OT23" s="125"/>
      <c r="OU23" s="125"/>
      <c r="OV23" s="125"/>
      <c r="OW23" s="125"/>
      <c r="OX23" s="125"/>
      <c r="OY23" s="125"/>
      <c r="OZ23" s="125"/>
      <c r="PA23" s="125"/>
      <c r="PB23" s="125"/>
      <c r="PC23" s="125"/>
      <c r="PD23" s="125"/>
      <c r="PE23" s="125"/>
      <c r="PF23" s="125"/>
      <c r="PG23" s="125"/>
      <c r="PH23" s="125"/>
      <c r="PI23" s="125"/>
      <c r="PJ23" s="125"/>
      <c r="PK23" s="125"/>
      <c r="PL23" s="125"/>
      <c r="PM23" s="125"/>
      <c r="PN23" s="125"/>
      <c r="PO23" s="125"/>
      <c r="PP23" s="125"/>
      <c r="PQ23" s="125"/>
      <c r="PR23" s="125"/>
      <c r="PS23" s="125"/>
      <c r="PT23" s="125"/>
      <c r="PU23" s="125"/>
      <c r="PV23" s="125"/>
      <c r="PW23" s="125"/>
      <c r="PX23" s="125"/>
      <c r="PY23" s="125"/>
      <c r="PZ23" s="125"/>
      <c r="QA23" s="125"/>
      <c r="QB23" s="125"/>
      <c r="QC23" s="125"/>
      <c r="QD23" s="125"/>
      <c r="QE23" s="125"/>
      <c r="QF23" s="125"/>
      <c r="QG23" s="125"/>
      <c r="QH23" s="125"/>
      <c r="QI23" s="125"/>
      <c r="QJ23" s="125"/>
      <c r="QK23" s="125"/>
      <c r="QL23" s="125"/>
      <c r="QM23" s="125"/>
    </row>
    <row r="24" spans="1:455" s="122" customFormat="1" ht="13.5">
      <c r="A24" s="655"/>
      <c r="B24" s="656"/>
      <c r="C24" s="657" t="s">
        <v>236</v>
      </c>
      <c r="D24" s="658"/>
      <c r="E24" s="489">
        <v>0</v>
      </c>
      <c r="F24" s="659">
        <v>150</v>
      </c>
      <c r="G24" s="514">
        <f t="shared" si="0"/>
        <v>0</v>
      </c>
      <c r="H24" s="662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  <c r="CW24" s="125"/>
      <c r="CX24" s="125"/>
      <c r="CY24" s="125"/>
      <c r="CZ24" s="125"/>
      <c r="DA24" s="125"/>
      <c r="DB24" s="125"/>
      <c r="DC24" s="125"/>
      <c r="DD24" s="125"/>
      <c r="DE24" s="125"/>
      <c r="DF24" s="125"/>
      <c r="DG24" s="125"/>
      <c r="DH24" s="125"/>
      <c r="DI24" s="125"/>
      <c r="DJ24" s="125"/>
      <c r="DK24" s="125"/>
      <c r="DL24" s="125"/>
      <c r="DM24" s="125"/>
      <c r="DN24" s="125"/>
      <c r="DO24" s="125"/>
      <c r="DP24" s="125"/>
      <c r="DQ24" s="125"/>
      <c r="DR24" s="125"/>
      <c r="DS24" s="125"/>
      <c r="DT24" s="125"/>
      <c r="DU24" s="125"/>
      <c r="DV24" s="125"/>
      <c r="DW24" s="125"/>
      <c r="DX24" s="125"/>
      <c r="DY24" s="125"/>
      <c r="DZ24" s="125"/>
      <c r="EA24" s="125"/>
      <c r="EB24" s="125"/>
      <c r="EC24" s="125"/>
      <c r="ED24" s="125"/>
      <c r="EE24" s="125"/>
      <c r="EF24" s="125"/>
      <c r="EG24" s="125"/>
      <c r="EH24" s="125"/>
      <c r="EI24" s="125"/>
      <c r="EJ24" s="125"/>
      <c r="EK24" s="125"/>
      <c r="EL24" s="125"/>
      <c r="EM24" s="125"/>
      <c r="EN24" s="125"/>
      <c r="EO24" s="125"/>
      <c r="EP24" s="125"/>
      <c r="EQ24" s="125"/>
      <c r="ER24" s="125"/>
      <c r="ES24" s="125"/>
      <c r="ET24" s="125"/>
      <c r="EU24" s="125"/>
      <c r="EV24" s="125"/>
      <c r="EW24" s="125"/>
      <c r="EX24" s="125"/>
      <c r="EY24" s="125"/>
      <c r="EZ24" s="125"/>
      <c r="FA24" s="125"/>
      <c r="FB24" s="125"/>
      <c r="FC24" s="125"/>
      <c r="FD24" s="125"/>
      <c r="FE24" s="125"/>
      <c r="FF24" s="125"/>
      <c r="FG24" s="125"/>
      <c r="FH24" s="125"/>
      <c r="FI24" s="125"/>
      <c r="FJ24" s="125"/>
      <c r="FK24" s="125"/>
      <c r="FL24" s="125"/>
      <c r="FM24" s="125"/>
      <c r="FN24" s="125"/>
      <c r="FO24" s="125"/>
      <c r="FP24" s="125"/>
      <c r="FQ24" s="125"/>
      <c r="FR24" s="125"/>
      <c r="FS24" s="125"/>
      <c r="FT24" s="125"/>
      <c r="FU24" s="125"/>
      <c r="FV24" s="125"/>
      <c r="FW24" s="125"/>
      <c r="FX24" s="125"/>
      <c r="FY24" s="125"/>
      <c r="FZ24" s="125"/>
      <c r="GA24" s="125"/>
      <c r="GB24" s="125"/>
      <c r="GC24" s="125"/>
      <c r="GD24" s="125"/>
      <c r="GE24" s="125"/>
      <c r="GF24" s="125"/>
      <c r="GG24" s="125"/>
      <c r="GH24" s="125"/>
      <c r="GI24" s="125"/>
      <c r="GJ24" s="125"/>
      <c r="GK24" s="125"/>
      <c r="GL24" s="125"/>
      <c r="GM24" s="125"/>
      <c r="GN24" s="125"/>
      <c r="GO24" s="125"/>
      <c r="GP24" s="125"/>
      <c r="GQ24" s="125"/>
      <c r="GR24" s="125"/>
      <c r="GS24" s="125"/>
      <c r="GT24" s="125"/>
      <c r="GU24" s="125"/>
      <c r="GV24" s="125"/>
      <c r="GW24" s="125"/>
      <c r="GX24" s="125"/>
      <c r="GY24" s="125"/>
      <c r="GZ24" s="125"/>
      <c r="HA24" s="125"/>
      <c r="HB24" s="125"/>
      <c r="HC24" s="125"/>
      <c r="HD24" s="125"/>
      <c r="HE24" s="125"/>
      <c r="HF24" s="125"/>
      <c r="HG24" s="125"/>
      <c r="HH24" s="125"/>
      <c r="HI24" s="125"/>
      <c r="HJ24" s="125"/>
      <c r="HK24" s="125"/>
      <c r="HL24" s="125"/>
      <c r="HM24" s="125"/>
      <c r="HN24" s="125"/>
      <c r="HO24" s="125"/>
      <c r="HP24" s="125"/>
      <c r="HQ24" s="125"/>
      <c r="HR24" s="125"/>
      <c r="HS24" s="125"/>
      <c r="HT24" s="125"/>
      <c r="HU24" s="125"/>
      <c r="HV24" s="125"/>
      <c r="HW24" s="125"/>
      <c r="HX24" s="125"/>
      <c r="HY24" s="125"/>
      <c r="HZ24" s="125"/>
      <c r="IA24" s="125"/>
      <c r="IB24" s="125"/>
      <c r="IC24" s="125"/>
      <c r="ID24" s="125"/>
      <c r="IE24" s="125"/>
      <c r="IF24" s="125"/>
      <c r="IG24" s="125"/>
      <c r="IH24" s="125"/>
      <c r="II24" s="125"/>
      <c r="IJ24" s="125"/>
      <c r="IK24" s="125"/>
      <c r="IL24" s="125"/>
      <c r="IM24" s="125"/>
      <c r="IN24" s="125"/>
      <c r="IO24" s="125"/>
      <c r="IP24" s="125"/>
      <c r="IQ24" s="125"/>
      <c r="IR24" s="125"/>
      <c r="IS24" s="125"/>
      <c r="IT24" s="125"/>
      <c r="IU24" s="125"/>
      <c r="IV24" s="125"/>
      <c r="IW24" s="125"/>
      <c r="IX24" s="125"/>
      <c r="IY24" s="125"/>
      <c r="IZ24" s="125"/>
      <c r="JA24" s="125"/>
      <c r="JB24" s="125"/>
      <c r="JC24" s="125"/>
      <c r="JD24" s="125"/>
      <c r="JE24" s="125"/>
      <c r="JF24" s="125"/>
      <c r="JG24" s="125"/>
      <c r="JH24" s="125"/>
      <c r="JI24" s="125"/>
      <c r="JJ24" s="125"/>
      <c r="JK24" s="125"/>
      <c r="JL24" s="125"/>
      <c r="JM24" s="125"/>
      <c r="JN24" s="125"/>
      <c r="JO24" s="125"/>
      <c r="JP24" s="125"/>
      <c r="JQ24" s="125"/>
      <c r="JR24" s="125"/>
      <c r="JS24" s="125"/>
      <c r="JT24" s="125"/>
      <c r="JU24" s="125"/>
      <c r="JV24" s="125"/>
      <c r="JW24" s="125"/>
      <c r="JX24" s="125"/>
      <c r="JY24" s="125"/>
      <c r="JZ24" s="125"/>
      <c r="KA24" s="125"/>
      <c r="KB24" s="125"/>
      <c r="KC24" s="125"/>
      <c r="KD24" s="125"/>
      <c r="KE24" s="125"/>
      <c r="KF24" s="125"/>
      <c r="KG24" s="125"/>
      <c r="KH24" s="125"/>
      <c r="KI24" s="125"/>
      <c r="KJ24" s="125"/>
      <c r="KK24" s="125"/>
      <c r="KL24" s="125"/>
      <c r="KM24" s="125"/>
      <c r="KN24" s="125"/>
      <c r="KO24" s="125"/>
      <c r="KP24" s="125"/>
      <c r="KQ24" s="125"/>
      <c r="KR24" s="125"/>
      <c r="KS24" s="125"/>
      <c r="KT24" s="125"/>
      <c r="KU24" s="125"/>
      <c r="KV24" s="125"/>
      <c r="KW24" s="125"/>
      <c r="KX24" s="125"/>
      <c r="KY24" s="125"/>
      <c r="KZ24" s="125"/>
      <c r="LA24" s="125"/>
      <c r="LB24" s="125"/>
      <c r="LC24" s="125"/>
      <c r="LD24" s="125"/>
      <c r="LE24" s="125"/>
      <c r="LF24" s="125"/>
      <c r="LG24" s="125"/>
      <c r="LH24" s="125"/>
      <c r="LI24" s="125"/>
      <c r="LJ24" s="125"/>
      <c r="LK24" s="125"/>
      <c r="LL24" s="125"/>
      <c r="LM24" s="125"/>
      <c r="LN24" s="125"/>
      <c r="LO24" s="125"/>
      <c r="LP24" s="125"/>
      <c r="LQ24" s="125"/>
      <c r="LR24" s="125"/>
      <c r="LS24" s="125"/>
      <c r="LT24" s="125"/>
      <c r="LU24" s="125"/>
      <c r="LV24" s="125"/>
      <c r="LW24" s="125"/>
      <c r="LX24" s="125"/>
      <c r="LY24" s="125"/>
      <c r="LZ24" s="125"/>
      <c r="MA24" s="125"/>
      <c r="MB24" s="125"/>
      <c r="MC24" s="125"/>
      <c r="MD24" s="125"/>
      <c r="ME24" s="125"/>
      <c r="MF24" s="125"/>
      <c r="MG24" s="125"/>
      <c r="MH24" s="125"/>
      <c r="MI24" s="125"/>
      <c r="MJ24" s="125"/>
      <c r="MK24" s="125"/>
      <c r="ML24" s="125"/>
      <c r="MM24" s="125"/>
      <c r="MN24" s="125"/>
      <c r="MO24" s="125"/>
      <c r="MP24" s="125"/>
      <c r="MQ24" s="125"/>
      <c r="MR24" s="125"/>
      <c r="MS24" s="125"/>
      <c r="MT24" s="125"/>
      <c r="MU24" s="125"/>
      <c r="MV24" s="125"/>
      <c r="MW24" s="125"/>
      <c r="MX24" s="125"/>
      <c r="MY24" s="125"/>
      <c r="MZ24" s="125"/>
      <c r="NA24" s="125"/>
      <c r="NB24" s="125"/>
      <c r="NC24" s="125"/>
      <c r="ND24" s="125"/>
      <c r="NE24" s="125"/>
      <c r="NF24" s="125"/>
      <c r="NG24" s="125"/>
      <c r="NH24" s="125"/>
      <c r="NI24" s="125"/>
      <c r="NJ24" s="125"/>
      <c r="NK24" s="125"/>
      <c r="NL24" s="125"/>
      <c r="NM24" s="125"/>
      <c r="NN24" s="125"/>
      <c r="NO24" s="125"/>
      <c r="NP24" s="125"/>
      <c r="NQ24" s="125"/>
      <c r="NR24" s="125"/>
      <c r="NS24" s="125"/>
      <c r="NT24" s="125"/>
      <c r="NU24" s="125"/>
      <c r="NV24" s="125"/>
      <c r="NW24" s="125"/>
      <c r="NX24" s="125"/>
      <c r="NY24" s="125"/>
      <c r="NZ24" s="125"/>
      <c r="OA24" s="125"/>
      <c r="OB24" s="125"/>
      <c r="OC24" s="125"/>
      <c r="OD24" s="125"/>
      <c r="OE24" s="125"/>
      <c r="OF24" s="125"/>
      <c r="OG24" s="125"/>
      <c r="OH24" s="125"/>
      <c r="OI24" s="125"/>
      <c r="OJ24" s="125"/>
      <c r="OK24" s="125"/>
      <c r="OL24" s="125"/>
      <c r="OM24" s="125"/>
      <c r="ON24" s="125"/>
      <c r="OO24" s="125"/>
      <c r="OP24" s="125"/>
      <c r="OQ24" s="125"/>
      <c r="OR24" s="125"/>
      <c r="OS24" s="125"/>
      <c r="OT24" s="125"/>
      <c r="OU24" s="125"/>
      <c r="OV24" s="125"/>
      <c r="OW24" s="125"/>
      <c r="OX24" s="125"/>
      <c r="OY24" s="125"/>
      <c r="OZ24" s="125"/>
      <c r="PA24" s="125"/>
      <c r="PB24" s="125"/>
      <c r="PC24" s="125"/>
      <c r="PD24" s="125"/>
      <c r="PE24" s="125"/>
      <c r="PF24" s="125"/>
      <c r="PG24" s="125"/>
      <c r="PH24" s="125"/>
      <c r="PI24" s="125"/>
      <c r="PJ24" s="125"/>
      <c r="PK24" s="125"/>
      <c r="PL24" s="125"/>
      <c r="PM24" s="125"/>
      <c r="PN24" s="125"/>
      <c r="PO24" s="125"/>
      <c r="PP24" s="125"/>
      <c r="PQ24" s="125"/>
      <c r="PR24" s="125"/>
      <c r="PS24" s="125"/>
      <c r="PT24" s="125"/>
      <c r="PU24" s="125"/>
      <c r="PV24" s="125"/>
      <c r="PW24" s="125"/>
      <c r="PX24" s="125"/>
      <c r="PY24" s="125"/>
      <c r="PZ24" s="125"/>
      <c r="QA24" s="125"/>
      <c r="QB24" s="125"/>
      <c r="QC24" s="125"/>
      <c r="QD24" s="125"/>
      <c r="QE24" s="125"/>
      <c r="QF24" s="125"/>
      <c r="QG24" s="125"/>
      <c r="QH24" s="125"/>
      <c r="QI24" s="125"/>
      <c r="QJ24" s="125"/>
      <c r="QK24" s="125"/>
      <c r="QL24" s="125"/>
      <c r="QM24" s="125"/>
    </row>
    <row r="25" spans="1:455" s="125" customFormat="1" ht="11.45" customHeight="1">
      <c r="A25" s="81"/>
      <c r="B25" s="82"/>
      <c r="C25" s="83"/>
      <c r="D25" s="127"/>
      <c r="E25" s="85"/>
      <c r="F25" s="66" t="s">
        <v>15</v>
      </c>
      <c r="G25" s="86">
        <f>SUM(G10:G24)</f>
        <v>1380</v>
      </c>
      <c r="H25" s="87"/>
    </row>
    <row r="26" spans="1:455" s="125" customFormat="1" ht="11.45" customHeight="1">
      <c r="A26" s="666"/>
      <c r="B26" s="667"/>
      <c r="C26" s="668"/>
      <c r="D26" s="669"/>
      <c r="E26" s="670"/>
      <c r="F26" s="498" t="s">
        <v>16</v>
      </c>
      <c r="G26" s="671">
        <v>1.35</v>
      </c>
      <c r="H26" s="672"/>
    </row>
    <row r="27" spans="1:455" s="125" customFormat="1" ht="11.45" customHeight="1">
      <c r="A27" s="673"/>
      <c r="B27" s="674"/>
      <c r="C27" s="675"/>
      <c r="D27" s="676"/>
      <c r="E27" s="677"/>
      <c r="F27" s="678" t="s">
        <v>17</v>
      </c>
      <c r="G27" s="679">
        <f>G25*G26</f>
        <v>1863.0000000000002</v>
      </c>
      <c r="H27" s="680"/>
    </row>
    <row r="28" spans="1:455" s="125" customFormat="1" ht="13.5">
      <c r="A28" s="649" t="s">
        <v>237</v>
      </c>
      <c r="B28" s="650"/>
      <c r="C28" s="651"/>
      <c r="D28" s="652"/>
      <c r="E28" s="652"/>
      <c r="F28" s="653"/>
      <c r="G28" s="653"/>
      <c r="H28" s="654"/>
    </row>
    <row r="29" spans="1:455" s="125" customFormat="1" ht="13.5">
      <c r="A29" s="681"/>
      <c r="B29" s="682"/>
      <c r="C29" s="683" t="s">
        <v>238</v>
      </c>
      <c r="D29" s="684"/>
      <c r="E29" s="685">
        <v>1</v>
      </c>
      <c r="F29" s="686">
        <v>180</v>
      </c>
      <c r="G29" s="687">
        <f>E29*F29</f>
        <v>180</v>
      </c>
      <c r="H29" s="688"/>
    </row>
    <row r="30" spans="1:455" s="125" customFormat="1" ht="13.5">
      <c r="A30" s="681"/>
      <c r="B30" s="682"/>
      <c r="C30" s="683" t="s">
        <v>239</v>
      </c>
      <c r="D30" s="684"/>
      <c r="E30" s="685">
        <v>1</v>
      </c>
      <c r="F30" s="689">
        <v>100</v>
      </c>
      <c r="G30" s="687">
        <f>E30*F30</f>
        <v>100</v>
      </c>
      <c r="H30" s="690"/>
    </row>
    <row r="31" spans="1:455" s="122" customFormat="1" ht="13.5">
      <c r="A31" s="681"/>
      <c r="B31" s="682"/>
      <c r="C31" s="683" t="s">
        <v>240</v>
      </c>
      <c r="D31" s="684"/>
      <c r="E31" s="691">
        <v>11</v>
      </c>
      <c r="F31" s="686">
        <v>15</v>
      </c>
      <c r="G31" s="687">
        <f>E31*F31</f>
        <v>165</v>
      </c>
      <c r="H31" s="692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  <c r="DB31" s="125"/>
      <c r="DC31" s="125"/>
      <c r="DD31" s="125"/>
      <c r="DE31" s="125"/>
      <c r="DF31" s="125"/>
      <c r="DG31" s="125"/>
      <c r="DH31" s="125"/>
      <c r="DI31" s="125"/>
      <c r="DJ31" s="125"/>
      <c r="DK31" s="125"/>
      <c r="DL31" s="125"/>
      <c r="DM31" s="125"/>
      <c r="DN31" s="125"/>
      <c r="DO31" s="125"/>
      <c r="DP31" s="125"/>
      <c r="DQ31" s="125"/>
      <c r="DR31" s="125"/>
      <c r="DS31" s="125"/>
      <c r="DT31" s="125"/>
      <c r="DU31" s="125"/>
      <c r="DV31" s="125"/>
      <c r="DW31" s="125"/>
      <c r="DX31" s="125"/>
      <c r="DY31" s="125"/>
      <c r="DZ31" s="125"/>
      <c r="EA31" s="125"/>
      <c r="EB31" s="125"/>
      <c r="EC31" s="125"/>
      <c r="ED31" s="125"/>
      <c r="EE31" s="125"/>
      <c r="EF31" s="125"/>
      <c r="EG31" s="125"/>
      <c r="EH31" s="125"/>
      <c r="EI31" s="125"/>
      <c r="EJ31" s="125"/>
      <c r="EK31" s="125"/>
      <c r="EL31" s="125"/>
      <c r="EM31" s="125"/>
      <c r="EN31" s="125"/>
      <c r="EO31" s="125"/>
      <c r="EP31" s="125"/>
      <c r="EQ31" s="125"/>
      <c r="ER31" s="125"/>
      <c r="ES31" s="125"/>
      <c r="ET31" s="125"/>
      <c r="EU31" s="125"/>
      <c r="EV31" s="125"/>
      <c r="EW31" s="125"/>
      <c r="EX31" s="125"/>
      <c r="EY31" s="125"/>
      <c r="EZ31" s="125"/>
      <c r="FA31" s="125"/>
      <c r="FB31" s="125"/>
      <c r="FC31" s="125"/>
      <c r="FD31" s="125"/>
      <c r="FE31" s="125"/>
      <c r="FF31" s="125"/>
      <c r="FG31" s="125"/>
      <c r="FH31" s="125"/>
      <c r="FI31" s="125"/>
      <c r="FJ31" s="125"/>
      <c r="FK31" s="125"/>
      <c r="FL31" s="125"/>
      <c r="FM31" s="125"/>
      <c r="FN31" s="125"/>
      <c r="FO31" s="125"/>
      <c r="FP31" s="125"/>
      <c r="FQ31" s="125"/>
      <c r="FR31" s="125"/>
      <c r="FS31" s="125"/>
      <c r="FT31" s="125"/>
      <c r="FU31" s="125"/>
      <c r="FV31" s="125"/>
      <c r="FW31" s="125"/>
      <c r="FX31" s="125"/>
      <c r="FY31" s="125"/>
      <c r="FZ31" s="125"/>
      <c r="GA31" s="125"/>
      <c r="GB31" s="125"/>
      <c r="GC31" s="125"/>
      <c r="GD31" s="125"/>
      <c r="GE31" s="125"/>
      <c r="GF31" s="125"/>
      <c r="GG31" s="125"/>
      <c r="GH31" s="125"/>
      <c r="GI31" s="125"/>
      <c r="GJ31" s="125"/>
      <c r="GK31" s="125"/>
      <c r="GL31" s="125"/>
      <c r="GM31" s="125"/>
      <c r="GN31" s="125"/>
      <c r="GO31" s="125"/>
      <c r="GP31" s="125"/>
      <c r="GQ31" s="125"/>
      <c r="GR31" s="125"/>
      <c r="GS31" s="125"/>
      <c r="GT31" s="125"/>
      <c r="GU31" s="125"/>
      <c r="GV31" s="125"/>
      <c r="GW31" s="125"/>
      <c r="GX31" s="125"/>
      <c r="GY31" s="125"/>
      <c r="GZ31" s="125"/>
      <c r="HA31" s="125"/>
      <c r="HB31" s="125"/>
      <c r="HC31" s="125"/>
      <c r="HD31" s="125"/>
      <c r="HE31" s="125"/>
      <c r="HF31" s="125"/>
      <c r="HG31" s="125"/>
      <c r="HH31" s="125"/>
      <c r="HI31" s="125"/>
      <c r="HJ31" s="125"/>
      <c r="HK31" s="125"/>
      <c r="HL31" s="125"/>
      <c r="HM31" s="125"/>
      <c r="HN31" s="125"/>
      <c r="HO31" s="125"/>
      <c r="HP31" s="125"/>
      <c r="HQ31" s="125"/>
      <c r="HR31" s="125"/>
      <c r="HS31" s="125"/>
      <c r="HT31" s="125"/>
      <c r="HU31" s="125"/>
      <c r="HV31" s="125"/>
      <c r="HW31" s="125"/>
      <c r="HX31" s="125"/>
      <c r="HY31" s="125"/>
      <c r="HZ31" s="125"/>
      <c r="IA31" s="125"/>
      <c r="IB31" s="125"/>
      <c r="IC31" s="125"/>
      <c r="ID31" s="125"/>
      <c r="IE31" s="125"/>
      <c r="IF31" s="125"/>
      <c r="IG31" s="125"/>
      <c r="IH31" s="125"/>
      <c r="II31" s="125"/>
      <c r="IJ31" s="125"/>
      <c r="IK31" s="125"/>
      <c r="IL31" s="125"/>
      <c r="IM31" s="125"/>
      <c r="IN31" s="125"/>
      <c r="IO31" s="125"/>
      <c r="IP31" s="125"/>
      <c r="IQ31" s="125"/>
      <c r="IR31" s="125"/>
      <c r="IS31" s="125"/>
      <c r="IT31" s="125"/>
      <c r="IU31" s="125"/>
      <c r="IV31" s="125"/>
      <c r="IW31" s="125"/>
      <c r="IX31" s="125"/>
      <c r="IY31" s="125"/>
      <c r="IZ31" s="125"/>
      <c r="JA31" s="125"/>
      <c r="JB31" s="125"/>
      <c r="JC31" s="125"/>
      <c r="JD31" s="125"/>
      <c r="JE31" s="125"/>
      <c r="JF31" s="125"/>
      <c r="JG31" s="125"/>
      <c r="JH31" s="125"/>
      <c r="JI31" s="125"/>
      <c r="JJ31" s="125"/>
      <c r="JK31" s="125"/>
      <c r="JL31" s="125"/>
      <c r="JM31" s="125"/>
      <c r="JN31" s="125"/>
      <c r="JO31" s="125"/>
      <c r="JP31" s="125"/>
      <c r="JQ31" s="125"/>
      <c r="JR31" s="125"/>
      <c r="JS31" s="125"/>
      <c r="JT31" s="125"/>
      <c r="JU31" s="125"/>
      <c r="JV31" s="125"/>
      <c r="JW31" s="125"/>
      <c r="JX31" s="125"/>
      <c r="JY31" s="125"/>
      <c r="JZ31" s="125"/>
      <c r="KA31" s="125"/>
      <c r="KB31" s="125"/>
      <c r="KC31" s="125"/>
      <c r="KD31" s="125"/>
      <c r="KE31" s="125"/>
      <c r="KF31" s="125"/>
      <c r="KG31" s="125"/>
      <c r="KH31" s="125"/>
      <c r="KI31" s="125"/>
      <c r="KJ31" s="125"/>
      <c r="KK31" s="125"/>
      <c r="KL31" s="125"/>
      <c r="KM31" s="125"/>
      <c r="KN31" s="125"/>
      <c r="KO31" s="125"/>
      <c r="KP31" s="125"/>
      <c r="KQ31" s="125"/>
      <c r="KR31" s="125"/>
      <c r="KS31" s="125"/>
      <c r="KT31" s="125"/>
      <c r="KU31" s="125"/>
      <c r="KV31" s="125"/>
      <c r="KW31" s="125"/>
      <c r="KX31" s="125"/>
      <c r="KY31" s="125"/>
      <c r="KZ31" s="125"/>
      <c r="LA31" s="125"/>
      <c r="LB31" s="125"/>
      <c r="LC31" s="125"/>
      <c r="LD31" s="125"/>
      <c r="LE31" s="125"/>
      <c r="LF31" s="125"/>
      <c r="LG31" s="125"/>
      <c r="LH31" s="125"/>
      <c r="LI31" s="125"/>
      <c r="LJ31" s="125"/>
      <c r="LK31" s="125"/>
      <c r="LL31" s="125"/>
      <c r="LM31" s="125"/>
      <c r="LN31" s="125"/>
      <c r="LO31" s="125"/>
      <c r="LP31" s="125"/>
      <c r="LQ31" s="125"/>
      <c r="LR31" s="125"/>
      <c r="LS31" s="125"/>
      <c r="LT31" s="125"/>
      <c r="LU31" s="125"/>
      <c r="LV31" s="125"/>
      <c r="LW31" s="125"/>
      <c r="LX31" s="125"/>
      <c r="LY31" s="125"/>
      <c r="LZ31" s="125"/>
      <c r="MA31" s="125"/>
      <c r="MB31" s="125"/>
      <c r="MC31" s="125"/>
      <c r="MD31" s="125"/>
      <c r="ME31" s="125"/>
      <c r="MF31" s="125"/>
      <c r="MG31" s="125"/>
      <c r="MH31" s="125"/>
      <c r="MI31" s="125"/>
      <c r="MJ31" s="125"/>
      <c r="MK31" s="125"/>
      <c r="ML31" s="125"/>
      <c r="MM31" s="125"/>
      <c r="MN31" s="125"/>
      <c r="MO31" s="125"/>
      <c r="MP31" s="125"/>
      <c r="MQ31" s="125"/>
      <c r="MR31" s="125"/>
      <c r="MS31" s="125"/>
      <c r="MT31" s="125"/>
      <c r="MU31" s="125"/>
      <c r="MV31" s="125"/>
      <c r="MW31" s="125"/>
      <c r="MX31" s="125"/>
      <c r="MY31" s="125"/>
      <c r="MZ31" s="125"/>
      <c r="NA31" s="125"/>
      <c r="NB31" s="125"/>
      <c r="NC31" s="125"/>
      <c r="ND31" s="125"/>
      <c r="NE31" s="125"/>
      <c r="NF31" s="125"/>
      <c r="NG31" s="125"/>
      <c r="NH31" s="125"/>
      <c r="NI31" s="125"/>
      <c r="NJ31" s="125"/>
      <c r="NK31" s="125"/>
      <c r="NL31" s="125"/>
      <c r="NM31" s="125"/>
      <c r="NN31" s="125"/>
      <c r="NO31" s="125"/>
      <c r="NP31" s="125"/>
      <c r="NQ31" s="125"/>
      <c r="NR31" s="125"/>
      <c r="NS31" s="125"/>
      <c r="NT31" s="125"/>
      <c r="NU31" s="125"/>
      <c r="NV31" s="125"/>
      <c r="NW31" s="125"/>
      <c r="NX31" s="125"/>
      <c r="NY31" s="125"/>
      <c r="NZ31" s="125"/>
      <c r="OA31" s="125"/>
      <c r="OB31" s="125"/>
      <c r="OC31" s="125"/>
      <c r="OD31" s="125"/>
      <c r="OE31" s="125"/>
      <c r="OF31" s="125"/>
      <c r="OG31" s="125"/>
      <c r="OH31" s="125"/>
      <c r="OI31" s="125"/>
      <c r="OJ31" s="125"/>
      <c r="OK31" s="125"/>
      <c r="OL31" s="125"/>
      <c r="OM31" s="125"/>
      <c r="ON31" s="125"/>
      <c r="OO31" s="125"/>
      <c r="OP31" s="125"/>
      <c r="OQ31" s="125"/>
      <c r="OR31" s="125"/>
      <c r="OS31" s="125"/>
      <c r="OT31" s="125"/>
      <c r="OU31" s="125"/>
      <c r="OV31" s="125"/>
      <c r="OW31" s="125"/>
      <c r="OX31" s="125"/>
      <c r="OY31" s="125"/>
      <c r="OZ31" s="125"/>
      <c r="PA31" s="125"/>
      <c r="PB31" s="125"/>
      <c r="PC31" s="125"/>
      <c r="PD31" s="125"/>
      <c r="PE31" s="125"/>
      <c r="PF31" s="125"/>
      <c r="PG31" s="125"/>
      <c r="PH31" s="125"/>
      <c r="PI31" s="125"/>
      <c r="PJ31" s="125"/>
      <c r="PK31" s="125"/>
      <c r="PL31" s="125"/>
      <c r="PM31" s="125"/>
      <c r="PN31" s="125"/>
      <c r="PO31" s="125"/>
      <c r="PP31" s="125"/>
      <c r="PQ31" s="125"/>
      <c r="PR31" s="125"/>
      <c r="PS31" s="125"/>
      <c r="PT31" s="125"/>
      <c r="PU31" s="125"/>
      <c r="PV31" s="125"/>
      <c r="PW31" s="125"/>
      <c r="PX31" s="125"/>
      <c r="PY31" s="125"/>
      <c r="PZ31" s="125"/>
      <c r="QA31" s="125"/>
      <c r="QB31" s="125"/>
      <c r="QC31" s="125"/>
      <c r="QD31" s="125"/>
      <c r="QE31" s="125"/>
      <c r="QF31" s="125"/>
      <c r="QG31" s="125"/>
      <c r="QH31" s="125"/>
      <c r="QI31" s="125"/>
      <c r="QJ31" s="125"/>
      <c r="QK31" s="125"/>
      <c r="QL31" s="125"/>
      <c r="QM31" s="125"/>
    </row>
    <row r="32" spans="1:455" s="126" customFormat="1" ht="13.5">
      <c r="A32" s="681"/>
      <c r="B32" s="682"/>
      <c r="C32" s="683" t="s">
        <v>233</v>
      </c>
      <c r="D32" s="693"/>
      <c r="E32" s="685">
        <v>1</v>
      </c>
      <c r="F32" s="686">
        <v>10</v>
      </c>
      <c r="G32" s="687">
        <f>E32*F32</f>
        <v>10</v>
      </c>
      <c r="H32" s="692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25"/>
      <c r="FV32" s="125"/>
      <c r="FW32" s="125"/>
      <c r="FX32" s="125"/>
      <c r="FY32" s="125"/>
      <c r="FZ32" s="125"/>
      <c r="GA32" s="125"/>
      <c r="GB32" s="125"/>
      <c r="GC32" s="125"/>
      <c r="GD32" s="125"/>
      <c r="GE32" s="125"/>
      <c r="GF32" s="125"/>
      <c r="GG32" s="125"/>
      <c r="GH32" s="125"/>
      <c r="GI32" s="125"/>
      <c r="GJ32" s="125"/>
      <c r="GK32" s="125"/>
      <c r="GL32" s="125"/>
      <c r="GM32" s="125"/>
      <c r="GN32" s="125"/>
      <c r="GO32" s="125"/>
      <c r="GP32" s="125"/>
      <c r="GQ32" s="125"/>
      <c r="GR32" s="125"/>
      <c r="GS32" s="125"/>
      <c r="GT32" s="125"/>
      <c r="GU32" s="125"/>
      <c r="GV32" s="125"/>
      <c r="GW32" s="125"/>
      <c r="GX32" s="125"/>
      <c r="GY32" s="125"/>
      <c r="GZ32" s="125"/>
      <c r="HA32" s="125"/>
      <c r="HB32" s="125"/>
      <c r="HC32" s="125"/>
      <c r="HD32" s="125"/>
      <c r="HE32" s="125"/>
      <c r="HF32" s="125"/>
      <c r="HG32" s="125"/>
      <c r="HH32" s="125"/>
      <c r="HI32" s="125"/>
      <c r="HJ32" s="125"/>
      <c r="HK32" s="125"/>
      <c r="HL32" s="125"/>
      <c r="HM32" s="125"/>
      <c r="HN32" s="125"/>
      <c r="HO32" s="125"/>
      <c r="HP32" s="125"/>
      <c r="HQ32" s="125"/>
      <c r="HR32" s="125"/>
      <c r="HS32" s="125"/>
      <c r="HT32" s="125"/>
      <c r="HU32" s="125"/>
      <c r="HV32" s="125"/>
      <c r="HW32" s="125"/>
      <c r="HX32" s="125"/>
      <c r="HY32" s="125"/>
      <c r="HZ32" s="125"/>
      <c r="IA32" s="125"/>
      <c r="IB32" s="125"/>
      <c r="IC32" s="125"/>
      <c r="ID32" s="125"/>
      <c r="IE32" s="125"/>
      <c r="IF32" s="125"/>
      <c r="IG32" s="125"/>
      <c r="IH32" s="125"/>
      <c r="II32" s="125"/>
      <c r="IJ32" s="125"/>
      <c r="IK32" s="125"/>
      <c r="IL32" s="125"/>
      <c r="IM32" s="125"/>
      <c r="IN32" s="125"/>
      <c r="IO32" s="125"/>
      <c r="IP32" s="125"/>
      <c r="IQ32" s="125"/>
      <c r="IR32" s="125"/>
      <c r="IS32" s="125"/>
      <c r="IT32" s="125"/>
      <c r="IU32" s="125"/>
      <c r="IV32" s="125"/>
      <c r="IW32" s="125"/>
      <c r="IX32" s="125"/>
      <c r="IY32" s="125"/>
      <c r="IZ32" s="125"/>
      <c r="JA32" s="125"/>
      <c r="JB32" s="125"/>
      <c r="JC32" s="125"/>
      <c r="JD32" s="125"/>
      <c r="JE32" s="125"/>
      <c r="JF32" s="125"/>
      <c r="JG32" s="125"/>
      <c r="JH32" s="125"/>
      <c r="JI32" s="125"/>
      <c r="JJ32" s="125"/>
      <c r="JK32" s="125"/>
      <c r="JL32" s="125"/>
      <c r="JM32" s="125"/>
      <c r="JN32" s="125"/>
      <c r="JO32" s="125"/>
      <c r="JP32" s="125"/>
      <c r="JQ32" s="125"/>
      <c r="JR32" s="125"/>
      <c r="JS32" s="125"/>
      <c r="JT32" s="125"/>
      <c r="JU32" s="125"/>
      <c r="JV32" s="125"/>
      <c r="JW32" s="125"/>
      <c r="JX32" s="125"/>
      <c r="JY32" s="125"/>
      <c r="JZ32" s="125"/>
      <c r="KA32" s="125"/>
      <c r="KB32" s="125"/>
      <c r="KC32" s="125"/>
      <c r="KD32" s="125"/>
      <c r="KE32" s="125"/>
      <c r="KF32" s="125"/>
      <c r="KG32" s="125"/>
      <c r="KH32" s="125"/>
      <c r="KI32" s="125"/>
      <c r="KJ32" s="125"/>
      <c r="KK32" s="125"/>
      <c r="KL32" s="125"/>
      <c r="KM32" s="125"/>
      <c r="KN32" s="125"/>
      <c r="KO32" s="125"/>
      <c r="KP32" s="125"/>
      <c r="KQ32" s="125"/>
      <c r="KR32" s="125"/>
      <c r="KS32" s="125"/>
      <c r="KT32" s="125"/>
      <c r="KU32" s="125"/>
      <c r="KV32" s="125"/>
      <c r="KW32" s="125"/>
      <c r="KX32" s="125"/>
      <c r="KY32" s="125"/>
      <c r="KZ32" s="125"/>
      <c r="LA32" s="125"/>
      <c r="LB32" s="125"/>
      <c r="LC32" s="125"/>
      <c r="LD32" s="125"/>
      <c r="LE32" s="125"/>
      <c r="LF32" s="125"/>
      <c r="LG32" s="125"/>
      <c r="LH32" s="125"/>
      <c r="LI32" s="125"/>
      <c r="LJ32" s="125"/>
      <c r="LK32" s="125"/>
      <c r="LL32" s="125"/>
      <c r="LM32" s="125"/>
      <c r="LN32" s="125"/>
      <c r="LO32" s="125"/>
      <c r="LP32" s="125"/>
      <c r="LQ32" s="125"/>
      <c r="LR32" s="125"/>
      <c r="LS32" s="125"/>
      <c r="LT32" s="125"/>
      <c r="LU32" s="125"/>
      <c r="LV32" s="125"/>
      <c r="LW32" s="125"/>
      <c r="LX32" s="125"/>
      <c r="LY32" s="125"/>
      <c r="LZ32" s="125"/>
      <c r="MA32" s="125"/>
      <c r="MB32" s="125"/>
      <c r="MC32" s="125"/>
      <c r="MD32" s="125"/>
      <c r="ME32" s="125"/>
      <c r="MF32" s="125"/>
      <c r="MG32" s="125"/>
      <c r="MH32" s="125"/>
      <c r="MI32" s="125"/>
      <c r="MJ32" s="125"/>
      <c r="MK32" s="125"/>
      <c r="ML32" s="125"/>
      <c r="MM32" s="125"/>
      <c r="MN32" s="125"/>
      <c r="MO32" s="125"/>
      <c r="MP32" s="125"/>
      <c r="MQ32" s="125"/>
      <c r="MR32" s="125"/>
      <c r="MS32" s="125"/>
      <c r="MT32" s="125"/>
      <c r="MU32" s="125"/>
      <c r="MV32" s="125"/>
      <c r="MW32" s="125"/>
      <c r="MX32" s="125"/>
      <c r="MY32" s="125"/>
      <c r="MZ32" s="125"/>
      <c r="NA32" s="125"/>
      <c r="NB32" s="125"/>
      <c r="NC32" s="125"/>
      <c r="ND32" s="125"/>
      <c r="NE32" s="125"/>
      <c r="NF32" s="125"/>
      <c r="NG32" s="125"/>
      <c r="NH32" s="125"/>
      <c r="NI32" s="125"/>
      <c r="NJ32" s="125"/>
      <c r="NK32" s="125"/>
      <c r="NL32" s="125"/>
      <c r="NM32" s="125"/>
      <c r="NN32" s="125"/>
      <c r="NO32" s="125"/>
      <c r="NP32" s="125"/>
      <c r="NQ32" s="125"/>
      <c r="NR32" s="125"/>
      <c r="NS32" s="125"/>
      <c r="NT32" s="125"/>
      <c r="NU32" s="125"/>
      <c r="NV32" s="125"/>
      <c r="NW32" s="125"/>
      <c r="NX32" s="125"/>
      <c r="NY32" s="125"/>
      <c r="NZ32" s="125"/>
      <c r="OA32" s="125"/>
      <c r="OB32" s="125"/>
      <c r="OC32" s="125"/>
      <c r="OD32" s="125"/>
      <c r="OE32" s="125"/>
      <c r="OF32" s="125"/>
      <c r="OG32" s="125"/>
      <c r="OH32" s="125"/>
      <c r="OI32" s="125"/>
      <c r="OJ32" s="125"/>
      <c r="OK32" s="125"/>
      <c r="OL32" s="125"/>
      <c r="OM32" s="125"/>
      <c r="ON32" s="125"/>
      <c r="OO32" s="125"/>
      <c r="OP32" s="125"/>
      <c r="OQ32" s="125"/>
      <c r="OR32" s="125"/>
      <c r="OS32" s="125"/>
      <c r="OT32" s="125"/>
      <c r="OU32" s="125"/>
      <c r="OV32" s="125"/>
      <c r="OW32" s="125"/>
      <c r="OX32" s="125"/>
      <c r="OY32" s="125"/>
      <c r="OZ32" s="125"/>
      <c r="PA32" s="125"/>
      <c r="PB32" s="125"/>
      <c r="PC32" s="125"/>
      <c r="PD32" s="125"/>
      <c r="PE32" s="125"/>
      <c r="PF32" s="125"/>
      <c r="PG32" s="125"/>
      <c r="PH32" s="125"/>
      <c r="PI32" s="125"/>
      <c r="PJ32" s="125"/>
      <c r="PK32" s="125"/>
      <c r="PL32" s="125"/>
      <c r="PM32" s="125"/>
      <c r="PN32" s="125"/>
      <c r="PO32" s="125"/>
      <c r="PP32" s="125"/>
      <c r="PQ32" s="125"/>
      <c r="PR32" s="125"/>
      <c r="PS32" s="125"/>
      <c r="PT32" s="125"/>
      <c r="PU32" s="125"/>
      <c r="PV32" s="125"/>
      <c r="PW32" s="125"/>
      <c r="PX32" s="125"/>
      <c r="PY32" s="125"/>
      <c r="PZ32" s="125"/>
      <c r="QA32" s="125"/>
      <c r="QB32" s="125"/>
      <c r="QC32" s="125"/>
      <c r="QD32" s="125"/>
      <c r="QE32" s="125"/>
      <c r="QF32" s="125"/>
      <c r="QG32" s="125"/>
      <c r="QH32" s="125"/>
      <c r="QI32" s="125"/>
      <c r="QJ32" s="125"/>
      <c r="QK32" s="125"/>
      <c r="QL32" s="125"/>
      <c r="QM32" s="125"/>
    </row>
    <row r="33" spans="1:455" s="126" customFormat="1" ht="13.5">
      <c r="A33" s="681"/>
      <c r="B33" s="682"/>
      <c r="C33" s="694" t="s">
        <v>241</v>
      </c>
      <c r="D33" s="684"/>
      <c r="E33" s="691">
        <v>7</v>
      </c>
      <c r="F33" s="686">
        <v>100</v>
      </c>
      <c r="G33" s="687">
        <f t="shared" ref="G33" si="1">E33*F33</f>
        <v>700</v>
      </c>
      <c r="H33" s="692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  <c r="DB33" s="125"/>
      <c r="DC33" s="125"/>
      <c r="DD33" s="125"/>
      <c r="DE33" s="125"/>
      <c r="DF33" s="125"/>
      <c r="DG33" s="125"/>
      <c r="DH33" s="125"/>
      <c r="DI33" s="125"/>
      <c r="DJ33" s="125"/>
      <c r="DK33" s="125"/>
      <c r="DL33" s="125"/>
      <c r="DM33" s="125"/>
      <c r="DN33" s="125"/>
      <c r="DO33" s="125"/>
      <c r="DP33" s="125"/>
      <c r="DQ33" s="125"/>
      <c r="DR33" s="125"/>
      <c r="DS33" s="125"/>
      <c r="DT33" s="125"/>
      <c r="DU33" s="125"/>
      <c r="DV33" s="125"/>
      <c r="DW33" s="125"/>
      <c r="DX33" s="125"/>
      <c r="DY33" s="125"/>
      <c r="DZ33" s="125"/>
      <c r="EA33" s="125"/>
      <c r="EB33" s="125"/>
      <c r="EC33" s="125"/>
      <c r="ED33" s="125"/>
      <c r="EE33" s="125"/>
      <c r="EF33" s="125"/>
      <c r="EG33" s="125"/>
      <c r="EH33" s="125"/>
      <c r="EI33" s="125"/>
      <c r="EJ33" s="125"/>
      <c r="EK33" s="125"/>
      <c r="EL33" s="125"/>
      <c r="EM33" s="125"/>
      <c r="EN33" s="125"/>
      <c r="EO33" s="125"/>
      <c r="EP33" s="125"/>
      <c r="EQ33" s="125"/>
      <c r="ER33" s="125"/>
      <c r="ES33" s="125"/>
      <c r="ET33" s="125"/>
      <c r="EU33" s="125"/>
      <c r="EV33" s="125"/>
      <c r="EW33" s="125"/>
      <c r="EX33" s="125"/>
      <c r="EY33" s="125"/>
      <c r="EZ33" s="125"/>
      <c r="FA33" s="125"/>
      <c r="FB33" s="125"/>
      <c r="FC33" s="125"/>
      <c r="FD33" s="125"/>
      <c r="FE33" s="125"/>
      <c r="FF33" s="125"/>
      <c r="FG33" s="125"/>
      <c r="FH33" s="125"/>
      <c r="FI33" s="125"/>
      <c r="FJ33" s="125"/>
      <c r="FK33" s="125"/>
      <c r="FL33" s="125"/>
      <c r="FM33" s="125"/>
      <c r="FN33" s="125"/>
      <c r="FO33" s="125"/>
      <c r="FP33" s="125"/>
      <c r="FQ33" s="125"/>
      <c r="FR33" s="125"/>
      <c r="FS33" s="125"/>
      <c r="FT33" s="125"/>
      <c r="FU33" s="125"/>
      <c r="FV33" s="125"/>
      <c r="FW33" s="125"/>
      <c r="FX33" s="125"/>
      <c r="FY33" s="125"/>
      <c r="FZ33" s="125"/>
      <c r="GA33" s="125"/>
      <c r="GB33" s="125"/>
      <c r="GC33" s="125"/>
      <c r="GD33" s="125"/>
      <c r="GE33" s="125"/>
      <c r="GF33" s="125"/>
      <c r="GG33" s="125"/>
      <c r="GH33" s="125"/>
      <c r="GI33" s="125"/>
      <c r="GJ33" s="125"/>
      <c r="GK33" s="125"/>
      <c r="GL33" s="125"/>
      <c r="GM33" s="125"/>
      <c r="GN33" s="125"/>
      <c r="GO33" s="125"/>
      <c r="GP33" s="125"/>
      <c r="GQ33" s="125"/>
      <c r="GR33" s="125"/>
      <c r="GS33" s="125"/>
      <c r="GT33" s="125"/>
      <c r="GU33" s="125"/>
      <c r="GV33" s="125"/>
      <c r="GW33" s="125"/>
      <c r="GX33" s="125"/>
      <c r="GY33" s="125"/>
      <c r="GZ33" s="125"/>
      <c r="HA33" s="125"/>
      <c r="HB33" s="125"/>
      <c r="HC33" s="125"/>
      <c r="HD33" s="125"/>
      <c r="HE33" s="125"/>
      <c r="HF33" s="125"/>
      <c r="HG33" s="125"/>
      <c r="HH33" s="125"/>
      <c r="HI33" s="125"/>
      <c r="HJ33" s="125"/>
      <c r="HK33" s="125"/>
      <c r="HL33" s="125"/>
      <c r="HM33" s="125"/>
      <c r="HN33" s="125"/>
      <c r="HO33" s="125"/>
      <c r="HP33" s="125"/>
      <c r="HQ33" s="125"/>
      <c r="HR33" s="125"/>
      <c r="HS33" s="125"/>
      <c r="HT33" s="125"/>
      <c r="HU33" s="125"/>
      <c r="HV33" s="125"/>
      <c r="HW33" s="125"/>
      <c r="HX33" s="125"/>
      <c r="HY33" s="125"/>
      <c r="HZ33" s="125"/>
      <c r="IA33" s="125"/>
      <c r="IB33" s="125"/>
      <c r="IC33" s="125"/>
      <c r="ID33" s="125"/>
      <c r="IE33" s="125"/>
      <c r="IF33" s="125"/>
      <c r="IG33" s="125"/>
      <c r="IH33" s="125"/>
      <c r="II33" s="125"/>
      <c r="IJ33" s="125"/>
      <c r="IK33" s="125"/>
      <c r="IL33" s="125"/>
      <c r="IM33" s="125"/>
      <c r="IN33" s="125"/>
      <c r="IO33" s="125"/>
      <c r="IP33" s="125"/>
      <c r="IQ33" s="125"/>
      <c r="IR33" s="125"/>
      <c r="IS33" s="125"/>
      <c r="IT33" s="125"/>
      <c r="IU33" s="125"/>
      <c r="IV33" s="125"/>
      <c r="IW33" s="125"/>
      <c r="IX33" s="125"/>
      <c r="IY33" s="125"/>
      <c r="IZ33" s="125"/>
      <c r="JA33" s="125"/>
      <c r="JB33" s="125"/>
      <c r="JC33" s="125"/>
      <c r="JD33" s="125"/>
      <c r="JE33" s="125"/>
      <c r="JF33" s="125"/>
      <c r="JG33" s="125"/>
      <c r="JH33" s="125"/>
      <c r="JI33" s="125"/>
      <c r="JJ33" s="125"/>
      <c r="JK33" s="125"/>
      <c r="JL33" s="125"/>
      <c r="JM33" s="125"/>
      <c r="JN33" s="125"/>
      <c r="JO33" s="125"/>
      <c r="JP33" s="125"/>
      <c r="JQ33" s="125"/>
      <c r="JR33" s="125"/>
      <c r="JS33" s="125"/>
      <c r="JT33" s="125"/>
      <c r="JU33" s="125"/>
      <c r="JV33" s="125"/>
      <c r="JW33" s="125"/>
      <c r="JX33" s="125"/>
      <c r="JY33" s="125"/>
      <c r="JZ33" s="125"/>
      <c r="KA33" s="125"/>
      <c r="KB33" s="125"/>
      <c r="KC33" s="125"/>
      <c r="KD33" s="125"/>
      <c r="KE33" s="125"/>
      <c r="KF33" s="125"/>
      <c r="KG33" s="125"/>
      <c r="KH33" s="125"/>
      <c r="KI33" s="125"/>
      <c r="KJ33" s="125"/>
      <c r="KK33" s="125"/>
      <c r="KL33" s="125"/>
      <c r="KM33" s="125"/>
      <c r="KN33" s="125"/>
      <c r="KO33" s="125"/>
      <c r="KP33" s="125"/>
      <c r="KQ33" s="125"/>
      <c r="KR33" s="125"/>
      <c r="KS33" s="125"/>
      <c r="KT33" s="125"/>
      <c r="KU33" s="125"/>
      <c r="KV33" s="125"/>
      <c r="KW33" s="125"/>
      <c r="KX33" s="125"/>
      <c r="KY33" s="125"/>
      <c r="KZ33" s="125"/>
      <c r="LA33" s="125"/>
      <c r="LB33" s="125"/>
      <c r="LC33" s="125"/>
      <c r="LD33" s="125"/>
      <c r="LE33" s="125"/>
      <c r="LF33" s="125"/>
      <c r="LG33" s="125"/>
      <c r="LH33" s="125"/>
      <c r="LI33" s="125"/>
      <c r="LJ33" s="125"/>
      <c r="LK33" s="125"/>
      <c r="LL33" s="125"/>
      <c r="LM33" s="125"/>
      <c r="LN33" s="125"/>
      <c r="LO33" s="125"/>
      <c r="LP33" s="125"/>
      <c r="LQ33" s="125"/>
      <c r="LR33" s="125"/>
      <c r="LS33" s="125"/>
      <c r="LT33" s="125"/>
      <c r="LU33" s="125"/>
      <c r="LV33" s="125"/>
      <c r="LW33" s="125"/>
      <c r="LX33" s="125"/>
      <c r="LY33" s="125"/>
      <c r="LZ33" s="125"/>
      <c r="MA33" s="125"/>
      <c r="MB33" s="125"/>
      <c r="MC33" s="125"/>
      <c r="MD33" s="125"/>
      <c r="ME33" s="125"/>
      <c r="MF33" s="125"/>
      <c r="MG33" s="125"/>
      <c r="MH33" s="125"/>
      <c r="MI33" s="125"/>
      <c r="MJ33" s="125"/>
      <c r="MK33" s="125"/>
      <c r="ML33" s="125"/>
      <c r="MM33" s="125"/>
      <c r="MN33" s="125"/>
      <c r="MO33" s="125"/>
      <c r="MP33" s="125"/>
      <c r="MQ33" s="125"/>
      <c r="MR33" s="125"/>
      <c r="MS33" s="125"/>
      <c r="MT33" s="125"/>
      <c r="MU33" s="125"/>
      <c r="MV33" s="125"/>
      <c r="MW33" s="125"/>
      <c r="MX33" s="125"/>
      <c r="MY33" s="125"/>
      <c r="MZ33" s="125"/>
      <c r="NA33" s="125"/>
      <c r="NB33" s="125"/>
      <c r="NC33" s="125"/>
      <c r="ND33" s="125"/>
      <c r="NE33" s="125"/>
      <c r="NF33" s="125"/>
      <c r="NG33" s="125"/>
      <c r="NH33" s="125"/>
      <c r="NI33" s="125"/>
      <c r="NJ33" s="125"/>
      <c r="NK33" s="125"/>
      <c r="NL33" s="125"/>
      <c r="NM33" s="125"/>
      <c r="NN33" s="125"/>
      <c r="NO33" s="125"/>
      <c r="NP33" s="125"/>
      <c r="NQ33" s="125"/>
      <c r="NR33" s="125"/>
      <c r="NS33" s="125"/>
      <c r="NT33" s="125"/>
      <c r="NU33" s="125"/>
      <c r="NV33" s="125"/>
      <c r="NW33" s="125"/>
      <c r="NX33" s="125"/>
      <c r="NY33" s="125"/>
      <c r="NZ33" s="125"/>
      <c r="OA33" s="125"/>
      <c r="OB33" s="125"/>
      <c r="OC33" s="125"/>
      <c r="OD33" s="125"/>
      <c r="OE33" s="125"/>
      <c r="OF33" s="125"/>
      <c r="OG33" s="125"/>
      <c r="OH33" s="125"/>
      <c r="OI33" s="125"/>
      <c r="OJ33" s="125"/>
      <c r="OK33" s="125"/>
      <c r="OL33" s="125"/>
      <c r="OM33" s="125"/>
      <c r="ON33" s="125"/>
      <c r="OO33" s="125"/>
      <c r="OP33" s="125"/>
      <c r="OQ33" s="125"/>
      <c r="OR33" s="125"/>
      <c r="OS33" s="125"/>
      <c r="OT33" s="125"/>
      <c r="OU33" s="125"/>
      <c r="OV33" s="125"/>
      <c r="OW33" s="125"/>
      <c r="OX33" s="125"/>
      <c r="OY33" s="125"/>
      <c r="OZ33" s="125"/>
      <c r="PA33" s="125"/>
      <c r="PB33" s="125"/>
      <c r="PC33" s="125"/>
      <c r="PD33" s="125"/>
      <c r="PE33" s="125"/>
      <c r="PF33" s="125"/>
      <c r="PG33" s="125"/>
      <c r="PH33" s="125"/>
      <c r="PI33" s="125"/>
      <c r="PJ33" s="125"/>
      <c r="PK33" s="125"/>
      <c r="PL33" s="125"/>
      <c r="PM33" s="125"/>
      <c r="PN33" s="125"/>
      <c r="PO33" s="125"/>
      <c r="PP33" s="125"/>
      <c r="PQ33" s="125"/>
      <c r="PR33" s="125"/>
      <c r="PS33" s="125"/>
      <c r="PT33" s="125"/>
      <c r="PU33" s="125"/>
      <c r="PV33" s="125"/>
      <c r="PW33" s="125"/>
      <c r="PX33" s="125"/>
      <c r="PY33" s="125"/>
      <c r="PZ33" s="125"/>
      <c r="QA33" s="125"/>
      <c r="QB33" s="125"/>
      <c r="QC33" s="125"/>
      <c r="QD33" s="125"/>
      <c r="QE33" s="125"/>
      <c r="QF33" s="125"/>
      <c r="QG33" s="125"/>
      <c r="QH33" s="125"/>
      <c r="QI33" s="125"/>
      <c r="QJ33" s="125"/>
      <c r="QK33" s="125"/>
      <c r="QL33" s="125"/>
      <c r="QM33" s="125"/>
    </row>
    <row r="34" spans="1:455" s="122" customFormat="1" ht="13.5">
      <c r="A34" s="681"/>
      <c r="B34" s="682"/>
      <c r="C34" s="683" t="s">
        <v>242</v>
      </c>
      <c r="D34" s="684"/>
      <c r="E34" s="691">
        <v>1</v>
      </c>
      <c r="F34" s="689">
        <v>600</v>
      </c>
      <c r="G34" s="687">
        <f>E34*F34</f>
        <v>600</v>
      </c>
      <c r="H34" s="69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/>
      <c r="CX34" s="125"/>
      <c r="CY34" s="125"/>
      <c r="CZ34" s="125"/>
      <c r="DA34" s="125"/>
      <c r="DB34" s="125"/>
      <c r="DC34" s="125"/>
      <c r="DD34" s="125"/>
      <c r="DE34" s="125"/>
      <c r="DF34" s="125"/>
      <c r="DG34" s="125"/>
      <c r="DH34" s="125"/>
      <c r="DI34" s="125"/>
      <c r="DJ34" s="125"/>
      <c r="DK34" s="125"/>
      <c r="DL34" s="125"/>
      <c r="DM34" s="125"/>
      <c r="DN34" s="125"/>
      <c r="DO34" s="125"/>
      <c r="DP34" s="125"/>
      <c r="DQ34" s="125"/>
      <c r="DR34" s="125"/>
      <c r="DS34" s="125"/>
      <c r="DT34" s="125"/>
      <c r="DU34" s="125"/>
      <c r="DV34" s="125"/>
      <c r="DW34" s="125"/>
      <c r="DX34" s="125"/>
      <c r="DY34" s="125"/>
      <c r="DZ34" s="125"/>
      <c r="EA34" s="125"/>
      <c r="EB34" s="125"/>
      <c r="EC34" s="125"/>
      <c r="ED34" s="125"/>
      <c r="EE34" s="125"/>
      <c r="EF34" s="125"/>
      <c r="EG34" s="125"/>
      <c r="EH34" s="125"/>
      <c r="EI34" s="125"/>
      <c r="EJ34" s="125"/>
      <c r="EK34" s="125"/>
      <c r="EL34" s="125"/>
      <c r="EM34" s="125"/>
      <c r="EN34" s="125"/>
      <c r="EO34" s="125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5"/>
      <c r="FQ34" s="125"/>
      <c r="FR34" s="125"/>
      <c r="FS34" s="125"/>
      <c r="FT34" s="125"/>
      <c r="FU34" s="125"/>
      <c r="FV34" s="125"/>
      <c r="FW34" s="125"/>
      <c r="FX34" s="125"/>
      <c r="FY34" s="125"/>
      <c r="FZ34" s="125"/>
      <c r="GA34" s="125"/>
      <c r="GB34" s="125"/>
      <c r="GC34" s="125"/>
      <c r="GD34" s="125"/>
      <c r="GE34" s="125"/>
      <c r="GF34" s="125"/>
      <c r="GG34" s="125"/>
      <c r="GH34" s="125"/>
      <c r="GI34" s="125"/>
      <c r="GJ34" s="125"/>
      <c r="GK34" s="125"/>
      <c r="GL34" s="125"/>
      <c r="GM34" s="125"/>
      <c r="GN34" s="125"/>
      <c r="GO34" s="125"/>
      <c r="GP34" s="125"/>
      <c r="GQ34" s="125"/>
      <c r="GR34" s="125"/>
      <c r="GS34" s="125"/>
      <c r="GT34" s="125"/>
      <c r="GU34" s="125"/>
      <c r="GV34" s="125"/>
      <c r="GW34" s="125"/>
      <c r="GX34" s="125"/>
      <c r="GY34" s="125"/>
      <c r="GZ34" s="125"/>
      <c r="HA34" s="125"/>
      <c r="HB34" s="125"/>
      <c r="HC34" s="125"/>
      <c r="HD34" s="125"/>
      <c r="HE34" s="125"/>
      <c r="HF34" s="125"/>
      <c r="HG34" s="125"/>
      <c r="HH34" s="125"/>
      <c r="HI34" s="125"/>
      <c r="HJ34" s="125"/>
      <c r="HK34" s="125"/>
      <c r="HL34" s="125"/>
      <c r="HM34" s="125"/>
      <c r="HN34" s="125"/>
      <c r="HO34" s="125"/>
      <c r="HP34" s="125"/>
      <c r="HQ34" s="125"/>
      <c r="HR34" s="125"/>
      <c r="HS34" s="125"/>
      <c r="HT34" s="125"/>
      <c r="HU34" s="125"/>
      <c r="HV34" s="125"/>
      <c r="HW34" s="125"/>
      <c r="HX34" s="125"/>
      <c r="HY34" s="125"/>
      <c r="HZ34" s="125"/>
      <c r="IA34" s="125"/>
      <c r="IB34" s="125"/>
      <c r="IC34" s="125"/>
      <c r="ID34" s="125"/>
      <c r="IE34" s="125"/>
      <c r="IF34" s="125"/>
      <c r="IG34" s="125"/>
      <c r="IH34" s="125"/>
      <c r="II34" s="125"/>
      <c r="IJ34" s="125"/>
      <c r="IK34" s="125"/>
      <c r="IL34" s="125"/>
      <c r="IM34" s="125"/>
      <c r="IN34" s="125"/>
      <c r="IO34" s="125"/>
      <c r="IP34" s="125"/>
      <c r="IQ34" s="125"/>
      <c r="IR34" s="125"/>
      <c r="IS34" s="125"/>
      <c r="IT34" s="125"/>
      <c r="IU34" s="125"/>
      <c r="IV34" s="125"/>
      <c r="IW34" s="125"/>
      <c r="IX34" s="125"/>
      <c r="IY34" s="125"/>
      <c r="IZ34" s="125"/>
      <c r="JA34" s="125"/>
      <c r="JB34" s="125"/>
      <c r="JC34" s="125"/>
      <c r="JD34" s="125"/>
      <c r="JE34" s="125"/>
      <c r="JF34" s="125"/>
      <c r="JG34" s="125"/>
      <c r="JH34" s="125"/>
      <c r="JI34" s="125"/>
      <c r="JJ34" s="125"/>
      <c r="JK34" s="125"/>
      <c r="JL34" s="125"/>
      <c r="JM34" s="125"/>
      <c r="JN34" s="125"/>
      <c r="JO34" s="125"/>
      <c r="JP34" s="125"/>
      <c r="JQ34" s="125"/>
      <c r="JR34" s="125"/>
      <c r="JS34" s="125"/>
      <c r="JT34" s="125"/>
      <c r="JU34" s="125"/>
      <c r="JV34" s="125"/>
      <c r="JW34" s="125"/>
      <c r="JX34" s="125"/>
      <c r="JY34" s="125"/>
      <c r="JZ34" s="125"/>
      <c r="KA34" s="125"/>
      <c r="KB34" s="125"/>
      <c r="KC34" s="125"/>
      <c r="KD34" s="125"/>
      <c r="KE34" s="125"/>
      <c r="KF34" s="125"/>
      <c r="KG34" s="125"/>
      <c r="KH34" s="125"/>
      <c r="KI34" s="125"/>
      <c r="KJ34" s="125"/>
      <c r="KK34" s="125"/>
      <c r="KL34" s="125"/>
      <c r="KM34" s="125"/>
      <c r="KN34" s="125"/>
      <c r="KO34" s="125"/>
      <c r="KP34" s="125"/>
      <c r="KQ34" s="125"/>
      <c r="KR34" s="125"/>
      <c r="KS34" s="125"/>
      <c r="KT34" s="125"/>
      <c r="KU34" s="125"/>
      <c r="KV34" s="125"/>
      <c r="KW34" s="125"/>
      <c r="KX34" s="125"/>
      <c r="KY34" s="125"/>
      <c r="KZ34" s="125"/>
      <c r="LA34" s="125"/>
      <c r="LB34" s="125"/>
      <c r="LC34" s="125"/>
      <c r="LD34" s="125"/>
      <c r="LE34" s="125"/>
      <c r="LF34" s="125"/>
      <c r="LG34" s="125"/>
      <c r="LH34" s="125"/>
      <c r="LI34" s="125"/>
      <c r="LJ34" s="125"/>
      <c r="LK34" s="125"/>
      <c r="LL34" s="125"/>
      <c r="LM34" s="125"/>
      <c r="LN34" s="125"/>
      <c r="LO34" s="125"/>
      <c r="LP34" s="125"/>
      <c r="LQ34" s="125"/>
      <c r="LR34" s="125"/>
      <c r="LS34" s="125"/>
      <c r="LT34" s="125"/>
      <c r="LU34" s="125"/>
      <c r="LV34" s="125"/>
      <c r="LW34" s="125"/>
      <c r="LX34" s="125"/>
      <c r="LY34" s="125"/>
      <c r="LZ34" s="125"/>
      <c r="MA34" s="125"/>
      <c r="MB34" s="125"/>
      <c r="MC34" s="125"/>
      <c r="MD34" s="125"/>
      <c r="ME34" s="125"/>
      <c r="MF34" s="125"/>
      <c r="MG34" s="125"/>
      <c r="MH34" s="125"/>
      <c r="MI34" s="125"/>
      <c r="MJ34" s="125"/>
      <c r="MK34" s="125"/>
      <c r="ML34" s="125"/>
      <c r="MM34" s="125"/>
      <c r="MN34" s="125"/>
      <c r="MO34" s="125"/>
      <c r="MP34" s="125"/>
      <c r="MQ34" s="125"/>
      <c r="MR34" s="125"/>
      <c r="MS34" s="125"/>
      <c r="MT34" s="125"/>
      <c r="MU34" s="125"/>
      <c r="MV34" s="125"/>
      <c r="MW34" s="125"/>
      <c r="MX34" s="125"/>
      <c r="MY34" s="125"/>
      <c r="MZ34" s="125"/>
      <c r="NA34" s="125"/>
      <c r="NB34" s="125"/>
      <c r="NC34" s="125"/>
      <c r="ND34" s="125"/>
      <c r="NE34" s="125"/>
      <c r="NF34" s="125"/>
      <c r="NG34" s="125"/>
      <c r="NH34" s="125"/>
      <c r="NI34" s="125"/>
      <c r="NJ34" s="125"/>
      <c r="NK34" s="125"/>
      <c r="NL34" s="125"/>
      <c r="NM34" s="125"/>
      <c r="NN34" s="125"/>
      <c r="NO34" s="125"/>
      <c r="NP34" s="125"/>
      <c r="NQ34" s="125"/>
      <c r="NR34" s="125"/>
      <c r="NS34" s="125"/>
      <c r="NT34" s="125"/>
      <c r="NU34" s="125"/>
      <c r="NV34" s="125"/>
      <c r="NW34" s="125"/>
      <c r="NX34" s="125"/>
      <c r="NY34" s="125"/>
      <c r="NZ34" s="125"/>
      <c r="OA34" s="125"/>
      <c r="OB34" s="125"/>
      <c r="OC34" s="125"/>
      <c r="OD34" s="125"/>
      <c r="OE34" s="125"/>
      <c r="OF34" s="125"/>
      <c r="OG34" s="125"/>
      <c r="OH34" s="125"/>
      <c r="OI34" s="125"/>
      <c r="OJ34" s="125"/>
      <c r="OK34" s="125"/>
      <c r="OL34" s="125"/>
      <c r="OM34" s="125"/>
      <c r="ON34" s="125"/>
      <c r="OO34" s="125"/>
      <c r="OP34" s="125"/>
      <c r="OQ34" s="125"/>
      <c r="OR34" s="125"/>
      <c r="OS34" s="125"/>
      <c r="OT34" s="125"/>
      <c r="OU34" s="125"/>
      <c r="OV34" s="125"/>
      <c r="OW34" s="125"/>
      <c r="OX34" s="125"/>
      <c r="OY34" s="125"/>
      <c r="OZ34" s="125"/>
      <c r="PA34" s="125"/>
      <c r="PB34" s="125"/>
      <c r="PC34" s="125"/>
      <c r="PD34" s="125"/>
      <c r="PE34" s="125"/>
      <c r="PF34" s="125"/>
      <c r="PG34" s="125"/>
      <c r="PH34" s="125"/>
      <c r="PI34" s="125"/>
      <c r="PJ34" s="125"/>
      <c r="PK34" s="125"/>
      <c r="PL34" s="125"/>
      <c r="PM34" s="125"/>
      <c r="PN34" s="125"/>
      <c r="PO34" s="125"/>
      <c r="PP34" s="125"/>
      <c r="PQ34" s="125"/>
      <c r="PR34" s="125"/>
      <c r="PS34" s="125"/>
      <c r="PT34" s="125"/>
      <c r="PU34" s="125"/>
      <c r="PV34" s="125"/>
      <c r="PW34" s="125"/>
      <c r="PX34" s="125"/>
      <c r="PY34" s="125"/>
      <c r="PZ34" s="125"/>
      <c r="QA34" s="125"/>
      <c r="QB34" s="125"/>
      <c r="QC34" s="125"/>
      <c r="QD34" s="125"/>
      <c r="QE34" s="125"/>
      <c r="QF34" s="125"/>
      <c r="QG34" s="125"/>
      <c r="QH34" s="125"/>
      <c r="QI34" s="125"/>
      <c r="QJ34" s="125"/>
      <c r="QK34" s="125"/>
      <c r="QL34" s="125"/>
      <c r="QM34" s="125"/>
    </row>
    <row r="35" spans="1:455" s="122" customFormat="1" ht="13.5">
      <c r="A35" s="681"/>
      <c r="B35" s="682"/>
      <c r="C35" s="683" t="s">
        <v>243</v>
      </c>
      <c r="D35" s="684"/>
      <c r="E35" s="691">
        <v>4</v>
      </c>
      <c r="F35" s="689">
        <v>140</v>
      </c>
      <c r="G35" s="696">
        <f>E35*F35</f>
        <v>560</v>
      </c>
      <c r="H35" s="692"/>
    </row>
    <row r="36" spans="1:455" s="122" customFormat="1" ht="13.5">
      <c r="A36" s="681"/>
      <c r="B36" s="682"/>
      <c r="C36" s="683" t="s">
        <v>244</v>
      </c>
      <c r="D36" s="684"/>
      <c r="E36" s="691">
        <v>3</v>
      </c>
      <c r="F36" s="686">
        <v>30</v>
      </c>
      <c r="G36" s="696">
        <f>E36*F36</f>
        <v>90</v>
      </c>
      <c r="H36" s="692"/>
    </row>
    <row r="37" spans="1:455" s="122" customFormat="1" ht="13.5">
      <c r="A37" s="681"/>
      <c r="B37" s="682"/>
      <c r="C37" s="683" t="s">
        <v>245</v>
      </c>
      <c r="D37" s="684"/>
      <c r="E37" s="691">
        <v>1</v>
      </c>
      <c r="F37" s="686">
        <v>80</v>
      </c>
      <c r="G37" s="696">
        <f>E37*F37</f>
        <v>80</v>
      </c>
      <c r="H37" s="692"/>
    </row>
    <row r="38" spans="1:455" s="125" customFormat="1" ht="11.45" customHeight="1">
      <c r="A38" s="81"/>
      <c r="B38" s="82"/>
      <c r="C38" s="83"/>
      <c r="D38" s="127"/>
      <c r="E38" s="85"/>
      <c r="F38" s="66" t="s">
        <v>15</v>
      </c>
      <c r="G38" s="86">
        <f>SUM(G29:G37)</f>
        <v>2485</v>
      </c>
      <c r="H38" s="87"/>
    </row>
    <row r="39" spans="1:455" s="125" customFormat="1" ht="11.45" customHeight="1">
      <c r="A39" s="697"/>
      <c r="B39" s="698"/>
      <c r="C39" s="699"/>
      <c r="D39" s="700"/>
      <c r="E39" s="701"/>
      <c r="F39" s="702" t="s">
        <v>16</v>
      </c>
      <c r="G39" s="703">
        <v>1.35</v>
      </c>
      <c r="H39" s="704"/>
    </row>
    <row r="40" spans="1:455" s="125" customFormat="1" ht="11.45" customHeight="1">
      <c r="A40" s="705"/>
      <c r="B40" s="706"/>
      <c r="C40" s="707"/>
      <c r="D40" s="708"/>
      <c r="E40" s="709"/>
      <c r="F40" s="710" t="s">
        <v>17</v>
      </c>
      <c r="G40" s="711">
        <f>G38*G39</f>
        <v>3354.75</v>
      </c>
      <c r="H40" s="712"/>
    </row>
    <row r="41" spans="1:455" s="125" customFormat="1" ht="13.5">
      <c r="A41" s="649" t="s">
        <v>246</v>
      </c>
      <c r="B41" s="650"/>
      <c r="C41" s="651"/>
      <c r="D41" s="652"/>
      <c r="E41" s="652"/>
      <c r="F41" s="653"/>
      <c r="G41" s="653"/>
      <c r="H41" s="654"/>
    </row>
    <row r="42" spans="1:455" s="122" customFormat="1" ht="13.5">
      <c r="A42" s="713"/>
      <c r="B42" s="714"/>
      <c r="C42" s="715" t="s">
        <v>175</v>
      </c>
      <c r="D42" s="716"/>
      <c r="E42" s="717">
        <v>43</v>
      </c>
      <c r="F42" s="718">
        <v>14</v>
      </c>
      <c r="G42" s="719">
        <f>E42*F42</f>
        <v>602</v>
      </c>
      <c r="H42" s="720"/>
    </row>
    <row r="43" spans="1:455" s="122" customFormat="1" ht="13.5">
      <c r="A43" s="713"/>
      <c r="B43" s="714"/>
      <c r="C43" s="715" t="s">
        <v>247</v>
      </c>
      <c r="D43" s="716"/>
      <c r="E43" s="721">
        <v>1</v>
      </c>
      <c r="F43" s="722">
        <v>750</v>
      </c>
      <c r="G43" s="723">
        <f>E43*F43</f>
        <v>750</v>
      </c>
      <c r="H43" s="724"/>
    </row>
    <row r="44" spans="1:455" s="122" customFormat="1" ht="13.5">
      <c r="A44" s="713"/>
      <c r="B44" s="714"/>
      <c r="C44" s="715" t="s">
        <v>248</v>
      </c>
      <c r="D44" s="716"/>
      <c r="E44" s="717">
        <v>1</v>
      </c>
      <c r="F44" s="718">
        <v>40</v>
      </c>
      <c r="G44" s="719">
        <f>E44*F44</f>
        <v>40</v>
      </c>
      <c r="H44" s="724"/>
    </row>
    <row r="45" spans="1:455" s="125" customFormat="1" ht="11.45" customHeight="1">
      <c r="A45" s="81"/>
      <c r="B45" s="82"/>
      <c r="C45" s="83"/>
      <c r="D45" s="127"/>
      <c r="E45" s="85"/>
      <c r="F45" s="66" t="s">
        <v>15</v>
      </c>
      <c r="G45" s="86">
        <f>SUM(G42:G44)</f>
        <v>1392</v>
      </c>
      <c r="H45" s="87"/>
    </row>
    <row r="46" spans="1:455" s="125" customFormat="1" ht="11.45" customHeight="1">
      <c r="A46" s="725"/>
      <c r="B46" s="726"/>
      <c r="C46" s="727"/>
      <c r="D46" s="728"/>
      <c r="E46" s="729"/>
      <c r="F46" s="730" t="s">
        <v>16</v>
      </c>
      <c r="G46" s="731">
        <v>1.35</v>
      </c>
      <c r="H46" s="732"/>
    </row>
    <row r="47" spans="1:455" s="125" customFormat="1" ht="11.45" customHeight="1">
      <c r="A47" s="733"/>
      <c r="B47" s="734"/>
      <c r="C47" s="735"/>
      <c r="D47" s="736"/>
      <c r="E47" s="737"/>
      <c r="F47" s="738" t="s">
        <v>17</v>
      </c>
      <c r="G47" s="739">
        <f>G45*G46</f>
        <v>1879.2</v>
      </c>
      <c r="H47" s="740"/>
    </row>
    <row r="48" spans="1:455" s="125" customFormat="1" ht="13.5">
      <c r="A48" s="741" t="s">
        <v>48</v>
      </c>
      <c r="B48" s="742"/>
      <c r="C48" s="743"/>
      <c r="D48" s="744"/>
      <c r="E48" s="744"/>
      <c r="F48" s="745"/>
      <c r="G48" s="745"/>
      <c r="H48" s="746"/>
    </row>
    <row r="49" spans="1:8" s="125" customFormat="1" ht="13.5">
      <c r="A49" s="713"/>
      <c r="B49" s="714"/>
      <c r="C49" s="715" t="s">
        <v>49</v>
      </c>
      <c r="D49" s="747"/>
      <c r="E49" s="748">
        <v>0</v>
      </c>
      <c r="F49" s="749">
        <v>240</v>
      </c>
      <c r="G49" s="750">
        <f>E49*F49</f>
        <v>0</v>
      </c>
      <c r="H49" s="724"/>
    </row>
    <row r="50" spans="1:8" s="125" customFormat="1" ht="13.5">
      <c r="A50" s="713"/>
      <c r="B50" s="714"/>
      <c r="C50" s="715" t="s">
        <v>204</v>
      </c>
      <c r="D50" s="747"/>
      <c r="E50" s="751">
        <v>1</v>
      </c>
      <c r="F50" s="752">
        <v>100</v>
      </c>
      <c r="G50" s="750">
        <f t="shared" ref="G50:G54" si="2">E50*F50</f>
        <v>100</v>
      </c>
      <c r="H50" s="724"/>
    </row>
    <row r="51" spans="1:8" s="125" customFormat="1" ht="13.5">
      <c r="A51" s="713"/>
      <c r="B51" s="714"/>
      <c r="C51" s="715" t="s">
        <v>205</v>
      </c>
      <c r="D51" s="747"/>
      <c r="E51" s="751">
        <v>1</v>
      </c>
      <c r="F51" s="752">
        <v>140</v>
      </c>
      <c r="G51" s="750">
        <f t="shared" si="2"/>
        <v>140</v>
      </c>
      <c r="H51" s="724"/>
    </row>
    <row r="52" spans="1:8" s="125" customFormat="1" ht="13.5">
      <c r="A52" s="128"/>
      <c r="B52" s="129"/>
      <c r="C52" s="130" t="s">
        <v>249</v>
      </c>
      <c r="D52" s="130"/>
      <c r="E52" s="131">
        <v>2</v>
      </c>
      <c r="F52" s="131">
        <v>75</v>
      </c>
      <c r="G52" s="750">
        <f t="shared" si="2"/>
        <v>150</v>
      </c>
      <c r="H52" s="753"/>
    </row>
    <row r="53" spans="1:8" s="125" customFormat="1" ht="13.5">
      <c r="A53" s="713"/>
      <c r="B53" s="714"/>
      <c r="C53" s="715" t="s">
        <v>51</v>
      </c>
      <c r="D53" s="747"/>
      <c r="E53" s="751">
        <v>0</v>
      </c>
      <c r="F53" s="749">
        <v>54</v>
      </c>
      <c r="G53" s="754">
        <f t="shared" si="2"/>
        <v>0</v>
      </c>
      <c r="H53" s="724"/>
    </row>
    <row r="54" spans="1:8" s="125" customFormat="1" ht="13.5">
      <c r="A54" s="713"/>
      <c r="B54" s="714"/>
      <c r="C54" s="715" t="s">
        <v>188</v>
      </c>
      <c r="D54" s="747"/>
      <c r="E54" s="755">
        <v>0</v>
      </c>
      <c r="F54" s="756">
        <v>60</v>
      </c>
      <c r="G54" s="750">
        <f t="shared" si="2"/>
        <v>0</v>
      </c>
      <c r="H54" s="724"/>
    </row>
    <row r="55" spans="1:8" s="125" customFormat="1" ht="11.45" customHeight="1">
      <c r="A55" s="81"/>
      <c r="B55" s="82"/>
      <c r="C55" s="83"/>
      <c r="D55" s="84"/>
      <c r="E55" s="85"/>
      <c r="F55" s="66" t="s">
        <v>53</v>
      </c>
      <c r="G55" s="86">
        <f>SUM(G49:G54)</f>
        <v>390</v>
      </c>
      <c r="H55" s="87"/>
    </row>
    <row r="56" spans="1:8" s="125" customFormat="1" ht="11.45" customHeight="1">
      <c r="A56" s="81"/>
      <c r="B56" s="82"/>
      <c r="C56" s="727"/>
      <c r="D56" s="757"/>
      <c r="E56" s="729"/>
      <c r="F56" s="730" t="s">
        <v>16</v>
      </c>
      <c r="G56" s="731">
        <v>1.35</v>
      </c>
      <c r="H56" s="732"/>
    </row>
    <row r="57" spans="1:8" s="125" customFormat="1" ht="11.45" customHeight="1">
      <c r="A57" s="81"/>
      <c r="B57" s="88"/>
      <c r="C57" s="758"/>
      <c r="D57" s="759"/>
      <c r="E57" s="760"/>
      <c r="F57" s="761" t="s">
        <v>17</v>
      </c>
      <c r="G57" s="762">
        <f>G55*G56</f>
        <v>526.5</v>
      </c>
      <c r="H57" s="763"/>
    </row>
    <row r="58" spans="1:8" s="125" customFormat="1" ht="13.5">
      <c r="A58" s="741" t="s">
        <v>54</v>
      </c>
      <c r="B58" s="742"/>
      <c r="C58" s="743"/>
      <c r="D58" s="744"/>
      <c r="E58" s="744"/>
      <c r="F58" s="745"/>
      <c r="G58" s="745"/>
      <c r="H58" s="746"/>
    </row>
    <row r="59" spans="1:8" s="125" customFormat="1" ht="13.5">
      <c r="A59" s="713"/>
      <c r="B59" s="714"/>
      <c r="C59" s="764" t="s">
        <v>55</v>
      </c>
      <c r="D59" s="747"/>
      <c r="E59" s="765">
        <v>1</v>
      </c>
      <c r="F59" s="766">
        <v>100</v>
      </c>
      <c r="G59" s="721">
        <f>E59*F59</f>
        <v>100</v>
      </c>
      <c r="H59" s="724"/>
    </row>
    <row r="60" spans="1:8" s="125" customFormat="1" ht="13.5">
      <c r="A60" s="713"/>
      <c r="B60" s="714"/>
      <c r="C60" s="764" t="s">
        <v>250</v>
      </c>
      <c r="D60" s="747"/>
      <c r="E60" s="765">
        <v>0</v>
      </c>
      <c r="F60" s="766">
        <v>120</v>
      </c>
      <c r="G60" s="721">
        <f>E60*F60</f>
        <v>0</v>
      </c>
      <c r="H60" s="724"/>
    </row>
    <row r="61" spans="1:8" s="125" customFormat="1" ht="11.45" customHeight="1">
      <c r="A61" s="81"/>
      <c r="B61" s="82"/>
      <c r="C61" s="83"/>
      <c r="D61" s="84"/>
      <c r="E61" s="85"/>
      <c r="F61" s="66" t="s">
        <v>53</v>
      </c>
      <c r="G61" s="86">
        <f>SUM(G59:G60)</f>
        <v>100</v>
      </c>
      <c r="H61" s="87"/>
    </row>
    <row r="62" spans="1:8" s="125" customFormat="1" ht="11.45" customHeight="1">
      <c r="A62" s="81"/>
      <c r="B62" s="82"/>
      <c r="C62" s="727"/>
      <c r="D62" s="757"/>
      <c r="E62" s="729"/>
      <c r="F62" s="730" t="s">
        <v>16</v>
      </c>
      <c r="G62" s="731">
        <v>1.35</v>
      </c>
      <c r="H62" s="732"/>
    </row>
    <row r="63" spans="1:8" s="125" customFormat="1" ht="11.45" customHeight="1">
      <c r="A63" s="81"/>
      <c r="B63" s="88"/>
      <c r="C63" s="758"/>
      <c r="D63" s="759"/>
      <c r="E63" s="760"/>
      <c r="F63" s="761" t="s">
        <v>17</v>
      </c>
      <c r="G63" s="762">
        <f>G61*G62</f>
        <v>135</v>
      </c>
      <c r="H63" s="740"/>
    </row>
    <row r="64" spans="1:8" s="125" customFormat="1" ht="11.25" customHeight="1">
      <c r="A64" s="741" t="s">
        <v>59</v>
      </c>
      <c r="B64" s="742"/>
      <c r="C64" s="743"/>
      <c r="D64" s="744"/>
      <c r="E64" s="744"/>
      <c r="F64" s="745"/>
      <c r="G64" s="745"/>
      <c r="H64" s="767"/>
    </row>
    <row r="65" spans="1:8" s="125" customFormat="1" ht="11.45" customHeight="1">
      <c r="A65" s="713"/>
      <c r="B65" s="714"/>
      <c r="C65" s="764" t="s">
        <v>60</v>
      </c>
      <c r="D65" s="747"/>
      <c r="E65" s="751">
        <v>0</v>
      </c>
      <c r="F65" s="749">
        <v>126</v>
      </c>
      <c r="G65" s="754">
        <f>E65*F65</f>
        <v>0</v>
      </c>
      <c r="H65" s="724"/>
    </row>
    <row r="66" spans="1:8" s="122" customFormat="1" ht="11.45" customHeight="1">
      <c r="A66" s="713"/>
      <c r="B66" s="714"/>
      <c r="C66" s="764" t="s">
        <v>61</v>
      </c>
      <c r="D66" s="747"/>
      <c r="E66" s="723">
        <v>0</v>
      </c>
      <c r="F66" s="723">
        <v>108</v>
      </c>
      <c r="G66" s="723">
        <f>F66*E66</f>
        <v>0</v>
      </c>
      <c r="H66" s="768"/>
    </row>
    <row r="67" spans="1:8" s="122" customFormat="1" ht="11.45" customHeight="1">
      <c r="A67" s="81"/>
      <c r="B67" s="82"/>
      <c r="C67" s="132"/>
      <c r="D67" s="84"/>
      <c r="E67" s="85"/>
      <c r="F67" s="66" t="s">
        <v>53</v>
      </c>
      <c r="G67" s="86">
        <f>SUM(G65:G66)</f>
        <v>0</v>
      </c>
      <c r="H67" s="133"/>
    </row>
    <row r="68" spans="1:8" s="122" customFormat="1" ht="11.45" customHeight="1">
      <c r="A68" s="725"/>
      <c r="B68" s="726"/>
      <c r="C68" s="727"/>
      <c r="D68" s="757"/>
      <c r="E68" s="729"/>
      <c r="F68" s="730" t="s">
        <v>16</v>
      </c>
      <c r="G68" s="769">
        <v>1.3</v>
      </c>
      <c r="H68" s="770"/>
    </row>
    <row r="69" spans="1:8" s="122" customFormat="1" ht="11.45" customHeight="1" thickBot="1">
      <c r="A69" s="771"/>
      <c r="B69" s="772"/>
      <c r="C69" s="773"/>
      <c r="D69" s="774"/>
      <c r="E69" s="775"/>
      <c r="F69" s="776" t="s">
        <v>17</v>
      </c>
      <c r="G69" s="777">
        <f>G67*G68</f>
        <v>0</v>
      </c>
      <c r="H69" s="778"/>
    </row>
  </sheetData>
  <mergeCells count="2">
    <mergeCell ref="A1:H1"/>
    <mergeCell ref="H5:H7"/>
  </mergeCells>
  <pageMargins left="0.7" right="0.7" top="0.75" bottom="0.75" header="0.3" footer="0.3"/>
  <pageSetup scale="78" fitToHeight="0" orientation="portrait" r:id="rId1"/>
  <rowBreaks count="1" manualBreakCount="1">
    <brk id="47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BF18-4D34-4D70-A3A7-CF9C1FA9C72E}">
  <sheetPr>
    <tabColor theme="4" tint="0.39997558519241921"/>
    <pageSetUpPr fitToPage="1"/>
  </sheetPr>
  <dimension ref="A1:GQ65"/>
  <sheetViews>
    <sheetView zoomScale="98" zoomScaleNormal="98" zoomScaleSheetLayoutView="100" workbookViewId="0">
      <selection activeCell="I10" sqref="I10"/>
    </sheetView>
  </sheetViews>
  <sheetFormatPr defaultColWidth="9.140625" defaultRowHeight="12.75"/>
  <cols>
    <col min="1" max="1" width="6.42578125" style="106" customWidth="1"/>
    <col min="2" max="2" width="7.85546875" style="99" customWidth="1"/>
    <col min="3" max="3" width="32.5703125" style="99" customWidth="1"/>
    <col min="4" max="4" width="8.5703125" style="99" customWidth="1"/>
    <col min="5" max="5" width="10.7109375" style="99" customWidth="1"/>
    <col min="6" max="7" width="10.7109375" style="107" customWidth="1"/>
    <col min="8" max="8" width="30.7109375" style="107" customWidth="1"/>
    <col min="9" max="16384" width="9.140625" style="99"/>
  </cols>
  <sheetData>
    <row r="1" spans="1:199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199" ht="18" customHeight="1">
      <c r="A2" s="2" t="s">
        <v>251</v>
      </c>
      <c r="B2" s="3"/>
      <c r="C2" s="4"/>
      <c r="D2" s="4"/>
      <c r="E2" s="4"/>
      <c r="F2" s="5"/>
      <c r="G2" s="5"/>
      <c r="H2" s="100"/>
    </row>
    <row r="3" spans="1:199" s="101" customFormat="1" ht="18" customHeight="1">
      <c r="A3" s="580"/>
      <c r="B3" s="779"/>
      <c r="C3" s="779"/>
      <c r="D3" s="779"/>
      <c r="E3" s="779"/>
      <c r="F3" s="779"/>
      <c r="G3" s="779"/>
      <c r="H3" s="780"/>
    </row>
    <row r="4" spans="1:199" s="102" customFormat="1" ht="11.25" customHeight="1">
      <c r="A4" s="8"/>
      <c r="B4" s="9"/>
      <c r="C4" s="10" t="s">
        <v>1</v>
      </c>
      <c r="D4" s="11">
        <f>SUM(G12)</f>
        <v>300</v>
      </c>
      <c r="E4" s="12"/>
      <c r="F4" s="12"/>
      <c r="G4" s="12"/>
      <c r="H4" s="13"/>
    </row>
    <row r="5" spans="1:199" s="102" customFormat="1" ht="11.25" customHeight="1">
      <c r="A5" s="781"/>
      <c r="B5" s="782"/>
      <c r="C5" s="783" t="s">
        <v>2</v>
      </c>
      <c r="D5" s="784">
        <v>1.3</v>
      </c>
      <c r="E5" s="785"/>
      <c r="F5" s="785"/>
      <c r="G5" s="786"/>
      <c r="H5" s="787"/>
    </row>
    <row r="6" spans="1:199" s="102" customFormat="1" ht="18.75" customHeight="1">
      <c r="A6" s="788"/>
      <c r="B6" s="789"/>
      <c r="C6" s="790" t="s">
        <v>3</v>
      </c>
      <c r="D6" s="11">
        <f>D4*D5</f>
        <v>390</v>
      </c>
      <c r="E6" s="785"/>
      <c r="F6" s="785"/>
      <c r="G6" s="791"/>
      <c r="H6" s="196"/>
    </row>
    <row r="7" spans="1:199" s="102" customFormat="1" ht="11.25" customHeight="1">
      <c r="A7" s="792"/>
      <c r="B7" s="793"/>
      <c r="C7" s="15"/>
      <c r="D7" s="794"/>
      <c r="E7" s="795"/>
      <c r="F7" s="796"/>
      <c r="G7" s="797"/>
      <c r="H7" s="197"/>
    </row>
    <row r="8" spans="1:199" s="102" customFormat="1" ht="12" customHeight="1">
      <c r="A8" s="798"/>
      <c r="B8" s="16"/>
      <c r="C8" s="16"/>
      <c r="D8" s="799"/>
      <c r="E8" s="800" t="s">
        <v>4</v>
      </c>
      <c r="F8" s="800" t="s">
        <v>5</v>
      </c>
      <c r="G8" s="800" t="s">
        <v>6</v>
      </c>
      <c r="H8" s="801" t="s">
        <v>7</v>
      </c>
    </row>
    <row r="9" spans="1:199" s="39" customFormat="1" ht="13.5">
      <c r="A9" s="802" t="s">
        <v>252</v>
      </c>
      <c r="B9" s="149"/>
      <c r="C9" s="150"/>
      <c r="D9" s="151"/>
      <c r="E9" s="151"/>
      <c r="F9" s="152"/>
      <c r="G9" s="153"/>
      <c r="H9" s="803"/>
    </row>
    <row r="10" spans="1:199" s="42" customFormat="1" ht="13.5">
      <c r="A10" s="804"/>
      <c r="B10" s="805"/>
      <c r="C10" s="806" t="s">
        <v>253</v>
      </c>
      <c r="D10" s="807"/>
      <c r="E10" s="808">
        <v>1</v>
      </c>
      <c r="F10" s="809">
        <v>120</v>
      </c>
      <c r="G10" s="810">
        <f t="shared" ref="G10:G11" si="0">E10*F10</f>
        <v>120</v>
      </c>
      <c r="H10" s="81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</row>
    <row r="11" spans="1:199" s="42" customFormat="1" ht="13.5">
      <c r="A11" s="804"/>
      <c r="B11" s="805"/>
      <c r="C11" s="806" t="s">
        <v>33</v>
      </c>
      <c r="D11" s="807"/>
      <c r="E11" s="808">
        <v>1</v>
      </c>
      <c r="F11" s="809">
        <v>180</v>
      </c>
      <c r="G11" s="810">
        <f t="shared" si="0"/>
        <v>180</v>
      </c>
      <c r="H11" s="811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</row>
    <row r="12" spans="1:199" s="39" customFormat="1" ht="11.25" customHeight="1">
      <c r="A12" s="23"/>
      <c r="B12" s="24"/>
      <c r="C12" s="30"/>
      <c r="D12" s="25"/>
      <c r="E12" s="26"/>
      <c r="F12" s="27" t="s">
        <v>15</v>
      </c>
      <c r="G12" s="28">
        <f>SUM(G10:G11)</f>
        <v>300</v>
      </c>
      <c r="H12" s="29"/>
    </row>
    <row r="13" spans="1:199" s="39" customFormat="1" ht="11.25" customHeight="1">
      <c r="A13" s="812"/>
      <c r="B13" s="813"/>
      <c r="C13" s="814"/>
      <c r="D13" s="815"/>
      <c r="E13" s="816"/>
      <c r="F13" s="817" t="s">
        <v>16</v>
      </c>
      <c r="G13" s="818">
        <v>1.3</v>
      </c>
      <c r="H13" s="819"/>
    </row>
    <row r="14" spans="1:199" s="39" customFormat="1" ht="11.25" customHeight="1" thickBot="1">
      <c r="A14" s="820"/>
      <c r="B14" s="821"/>
      <c r="C14" s="822"/>
      <c r="D14" s="823"/>
      <c r="E14" s="824"/>
      <c r="F14" s="825" t="s">
        <v>17</v>
      </c>
      <c r="G14" s="826">
        <f>G12*G13</f>
        <v>390</v>
      </c>
      <c r="H14" s="827"/>
    </row>
    <row r="15" spans="1:199" s="102" customFormat="1" ht="13.5">
      <c r="A15" s="104"/>
      <c r="F15" s="105"/>
      <c r="G15" s="105"/>
      <c r="H15" s="105"/>
    </row>
    <row r="16" spans="1:199" s="102" customFormat="1" ht="13.5">
      <c r="A16" s="104"/>
      <c r="F16" s="105"/>
      <c r="G16" s="105"/>
      <c r="H16" s="105"/>
    </row>
    <row r="17" spans="1:8" s="102" customFormat="1" ht="13.5">
      <c r="A17" s="104"/>
      <c r="F17" s="105"/>
      <c r="G17" s="105"/>
      <c r="H17" s="105"/>
    </row>
    <row r="18" spans="1:8" s="102" customFormat="1" ht="13.5">
      <c r="A18" s="104"/>
      <c r="F18" s="105"/>
      <c r="G18" s="105"/>
      <c r="H18" s="105"/>
    </row>
    <row r="19" spans="1:8" s="102" customFormat="1" ht="13.5">
      <c r="A19" s="104"/>
      <c r="F19" s="105"/>
      <c r="G19" s="105"/>
      <c r="H19" s="105"/>
    </row>
    <row r="20" spans="1:8" s="102" customFormat="1" ht="13.5">
      <c r="A20" s="104"/>
      <c r="F20" s="105"/>
      <c r="G20" s="105"/>
      <c r="H20" s="105"/>
    </row>
    <row r="21" spans="1:8" s="102" customFormat="1" ht="13.5">
      <c r="A21" s="104"/>
      <c r="F21" s="105"/>
      <c r="G21" s="105"/>
      <c r="H21" s="105"/>
    </row>
    <row r="22" spans="1:8" s="102" customFormat="1" ht="13.5">
      <c r="A22" s="104"/>
      <c r="F22" s="105"/>
      <c r="G22" s="105"/>
      <c r="H22" s="105"/>
    </row>
    <row r="23" spans="1:8" s="102" customFormat="1" ht="13.5">
      <c r="A23" s="104"/>
      <c r="F23" s="105"/>
      <c r="G23" s="105"/>
      <c r="H23" s="105"/>
    </row>
    <row r="24" spans="1:8" s="102" customFormat="1" ht="13.5">
      <c r="A24" s="104"/>
      <c r="F24" s="105"/>
      <c r="G24" s="105"/>
      <c r="H24" s="105"/>
    </row>
    <row r="25" spans="1:8" s="102" customFormat="1" ht="13.5">
      <c r="A25" s="104"/>
      <c r="F25" s="105"/>
      <c r="G25" s="105"/>
      <c r="H25" s="105"/>
    </row>
    <row r="26" spans="1:8" s="102" customFormat="1" ht="13.5">
      <c r="A26" s="104"/>
      <c r="F26" s="105"/>
      <c r="G26" s="105"/>
      <c r="H26" s="105"/>
    </row>
    <row r="27" spans="1:8" s="102" customFormat="1" ht="13.5">
      <c r="A27" s="104"/>
      <c r="F27" s="105"/>
      <c r="G27" s="105"/>
      <c r="H27" s="105"/>
    </row>
    <row r="28" spans="1:8" s="102" customFormat="1" ht="13.5">
      <c r="A28" s="104"/>
      <c r="F28" s="105"/>
      <c r="G28" s="105"/>
      <c r="H28" s="105"/>
    </row>
    <row r="29" spans="1:8" s="102" customFormat="1" ht="13.5">
      <c r="A29" s="104"/>
      <c r="F29" s="105"/>
      <c r="G29" s="105"/>
      <c r="H29" s="105"/>
    </row>
    <row r="30" spans="1:8" s="102" customFormat="1" ht="13.5">
      <c r="A30" s="104"/>
      <c r="F30" s="105"/>
      <c r="G30" s="105"/>
      <c r="H30" s="105"/>
    </row>
    <row r="31" spans="1:8" s="102" customFormat="1" ht="13.5">
      <c r="A31" s="104"/>
      <c r="F31" s="105"/>
      <c r="G31" s="105"/>
      <c r="H31" s="105"/>
    </row>
    <row r="32" spans="1:8" s="102" customFormat="1" ht="13.5">
      <c r="A32" s="104"/>
      <c r="F32" s="105"/>
      <c r="G32" s="105"/>
      <c r="H32" s="105"/>
    </row>
    <row r="33" spans="1:8" s="102" customFormat="1" ht="13.5">
      <c r="A33" s="104"/>
      <c r="F33" s="105"/>
      <c r="G33" s="105"/>
      <c r="H33" s="105"/>
    </row>
    <row r="34" spans="1:8" s="102" customFormat="1" ht="13.5">
      <c r="A34" s="104"/>
      <c r="F34" s="105"/>
      <c r="G34" s="105"/>
      <c r="H34" s="105"/>
    </row>
    <row r="35" spans="1:8" s="102" customFormat="1" ht="13.5">
      <c r="A35" s="104"/>
      <c r="F35" s="105"/>
      <c r="G35" s="105"/>
      <c r="H35" s="105"/>
    </row>
    <row r="36" spans="1:8" s="102" customFormat="1" ht="13.5">
      <c r="A36" s="104"/>
      <c r="F36" s="105"/>
      <c r="G36" s="105"/>
      <c r="H36" s="105"/>
    </row>
    <row r="37" spans="1:8" s="102" customFormat="1" ht="13.5">
      <c r="A37" s="104"/>
      <c r="F37" s="105"/>
      <c r="G37" s="105"/>
      <c r="H37" s="105"/>
    </row>
    <row r="38" spans="1:8" s="102" customFormat="1" ht="13.5">
      <c r="A38" s="104"/>
      <c r="F38" s="105"/>
      <c r="G38" s="105"/>
      <c r="H38" s="105"/>
    </row>
    <row r="39" spans="1:8" s="102" customFormat="1" ht="13.5">
      <c r="A39" s="104"/>
      <c r="F39" s="105"/>
      <c r="G39" s="105"/>
      <c r="H39" s="105"/>
    </row>
    <row r="40" spans="1:8" s="102" customFormat="1" ht="13.5">
      <c r="A40" s="104"/>
      <c r="F40" s="105"/>
      <c r="G40" s="105"/>
      <c r="H40" s="105"/>
    </row>
    <row r="41" spans="1:8" s="102" customFormat="1" ht="13.5">
      <c r="A41" s="104"/>
      <c r="F41" s="105"/>
      <c r="G41" s="105"/>
      <c r="H41" s="105"/>
    </row>
    <row r="42" spans="1:8" s="102" customFormat="1" ht="13.5">
      <c r="A42" s="104"/>
      <c r="F42" s="105"/>
      <c r="G42" s="105"/>
      <c r="H42" s="105"/>
    </row>
    <row r="43" spans="1:8" s="102" customFormat="1" ht="13.5">
      <c r="A43" s="104"/>
      <c r="F43" s="105"/>
      <c r="G43" s="105"/>
      <c r="H43" s="105"/>
    </row>
    <row r="44" spans="1:8" s="102" customFormat="1" ht="13.5">
      <c r="A44" s="104"/>
      <c r="F44" s="105"/>
      <c r="G44" s="105"/>
      <c r="H44" s="105"/>
    </row>
    <row r="45" spans="1:8" s="102" customFormat="1" ht="13.5">
      <c r="A45" s="104"/>
      <c r="F45" s="105"/>
      <c r="G45" s="105"/>
      <c r="H45" s="105"/>
    </row>
    <row r="46" spans="1:8" s="102" customFormat="1" ht="13.5">
      <c r="A46" s="104"/>
      <c r="F46" s="105"/>
      <c r="G46" s="105"/>
      <c r="H46" s="105"/>
    </row>
    <row r="47" spans="1:8" s="102" customFormat="1" ht="13.5">
      <c r="A47" s="104"/>
      <c r="F47" s="105"/>
      <c r="G47" s="105"/>
      <c r="H47" s="105"/>
    </row>
    <row r="48" spans="1:8" s="102" customFormat="1" ht="13.5">
      <c r="A48" s="104"/>
      <c r="F48" s="105"/>
      <c r="G48" s="105"/>
      <c r="H48" s="105"/>
    </row>
    <row r="49" spans="1:8" s="102" customFormat="1" ht="13.5">
      <c r="A49" s="104"/>
      <c r="F49" s="105"/>
      <c r="G49" s="105"/>
      <c r="H49" s="105"/>
    </row>
    <row r="50" spans="1:8" s="102" customFormat="1" ht="13.5">
      <c r="A50" s="104"/>
      <c r="F50" s="105"/>
      <c r="G50" s="105"/>
      <c r="H50" s="105"/>
    </row>
    <row r="51" spans="1:8" s="102" customFormat="1" ht="13.5">
      <c r="A51" s="104"/>
      <c r="F51" s="105"/>
      <c r="G51" s="105"/>
      <c r="H51" s="105"/>
    </row>
    <row r="52" spans="1:8" s="102" customFormat="1" ht="13.5">
      <c r="A52" s="104"/>
      <c r="F52" s="105"/>
      <c r="G52" s="105"/>
      <c r="H52" s="105"/>
    </row>
    <row r="53" spans="1:8" s="102" customFormat="1" ht="13.5">
      <c r="A53" s="104"/>
      <c r="F53" s="105"/>
      <c r="G53" s="105"/>
      <c r="H53" s="105"/>
    </row>
    <row r="54" spans="1:8" s="102" customFormat="1" ht="13.5">
      <c r="A54" s="104"/>
      <c r="F54" s="105"/>
      <c r="G54" s="105"/>
      <c r="H54" s="105"/>
    </row>
    <row r="55" spans="1:8" s="102" customFormat="1" ht="13.5">
      <c r="A55" s="104"/>
      <c r="F55" s="105"/>
      <c r="G55" s="105"/>
      <c r="H55" s="105"/>
    </row>
    <row r="56" spans="1:8" s="102" customFormat="1" ht="13.5">
      <c r="A56" s="104"/>
      <c r="F56" s="105"/>
      <c r="G56" s="105"/>
      <c r="H56" s="105"/>
    </row>
    <row r="57" spans="1:8" s="102" customFormat="1" ht="13.5">
      <c r="A57" s="104"/>
      <c r="F57" s="105"/>
      <c r="G57" s="105"/>
      <c r="H57" s="105"/>
    </row>
    <row r="58" spans="1:8" s="102" customFormat="1" ht="13.5">
      <c r="A58" s="104"/>
      <c r="F58" s="105"/>
      <c r="G58" s="105"/>
      <c r="H58" s="105"/>
    </row>
    <row r="59" spans="1:8" s="102" customFormat="1" ht="13.5">
      <c r="A59" s="104"/>
      <c r="F59" s="105"/>
      <c r="G59" s="105"/>
      <c r="H59" s="105"/>
    </row>
    <row r="60" spans="1:8" s="102" customFormat="1" ht="13.5">
      <c r="A60" s="104"/>
      <c r="F60" s="105"/>
      <c r="G60" s="105"/>
      <c r="H60" s="105"/>
    </row>
    <row r="61" spans="1:8" s="102" customFormat="1" ht="13.5">
      <c r="A61" s="104"/>
      <c r="F61" s="105"/>
      <c r="G61" s="105"/>
      <c r="H61" s="105"/>
    </row>
    <row r="62" spans="1:8" s="102" customFormat="1" ht="13.5">
      <c r="A62" s="104"/>
      <c r="F62" s="105"/>
      <c r="G62" s="105"/>
      <c r="H62" s="105"/>
    </row>
    <row r="63" spans="1:8" s="102" customFormat="1" ht="13.5">
      <c r="A63" s="104"/>
      <c r="F63" s="105"/>
      <c r="G63" s="105"/>
      <c r="H63" s="105"/>
    </row>
    <row r="64" spans="1:8" s="102" customFormat="1" ht="13.5">
      <c r="A64" s="104"/>
      <c r="F64" s="105"/>
      <c r="G64" s="105"/>
      <c r="H64" s="105"/>
    </row>
    <row r="65" spans="1:8" s="102" customFormat="1" ht="13.5">
      <c r="A65" s="104"/>
      <c r="F65" s="105"/>
      <c r="G65" s="105"/>
      <c r="H65" s="105"/>
    </row>
  </sheetData>
  <mergeCells count="2">
    <mergeCell ref="A1:H1"/>
    <mergeCell ref="H5:H7"/>
  </mergeCells>
  <printOptions horizontalCentered="1"/>
  <pageMargins left="0.5" right="0.5" top="1.5" bottom="1.5" header="1.5" footer="1.5"/>
  <pageSetup scale="8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8D1D-F139-450A-A6CB-59A299194C32}">
  <sheetPr>
    <tabColor theme="4" tint="0.39997558519241921"/>
    <pageSetUpPr fitToPage="1"/>
  </sheetPr>
  <dimension ref="A1:ALP46"/>
  <sheetViews>
    <sheetView zoomScaleNormal="100" zoomScaleSheetLayoutView="100" workbookViewId="0">
      <selection sqref="A1:H1"/>
    </sheetView>
  </sheetViews>
  <sheetFormatPr defaultColWidth="9.140625" defaultRowHeight="12.75"/>
  <cols>
    <col min="1" max="1" width="6.42578125" style="106" customWidth="1"/>
    <col min="2" max="2" width="7.85546875" style="99" customWidth="1"/>
    <col min="3" max="3" width="35.7109375" style="99" customWidth="1"/>
    <col min="4" max="4" width="8.5703125" style="99" customWidth="1"/>
    <col min="5" max="5" width="10.7109375" style="99" customWidth="1"/>
    <col min="6" max="7" width="10.7109375" style="107" customWidth="1"/>
    <col min="8" max="8" width="40.7109375" style="107" customWidth="1"/>
    <col min="9" max="16384" width="9.140625" style="99"/>
  </cols>
  <sheetData>
    <row r="1" spans="1:1004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1004" ht="18" customHeight="1">
      <c r="A2" s="2" t="s">
        <v>254</v>
      </c>
      <c r="B2" s="3"/>
      <c r="C2" s="4"/>
      <c r="D2" s="4"/>
      <c r="E2" s="4"/>
      <c r="F2" s="5"/>
      <c r="G2" s="5"/>
      <c r="H2" s="100"/>
    </row>
    <row r="3" spans="1:1004" s="101" customFormat="1">
      <c r="A3" s="580"/>
      <c r="B3" s="828"/>
      <c r="C3" s="828"/>
      <c r="D3" s="828"/>
      <c r="E3" s="828"/>
      <c r="F3" s="828"/>
      <c r="G3" s="828"/>
      <c r="H3" s="829"/>
    </row>
    <row r="4" spans="1:1004" s="102" customFormat="1" ht="11.25" customHeight="1">
      <c r="A4" s="8"/>
      <c r="B4" s="9"/>
      <c r="C4" s="10" t="s">
        <v>1</v>
      </c>
      <c r="D4" s="11">
        <f>SUM(G16)</f>
        <v>430</v>
      </c>
      <c r="E4" s="12"/>
      <c r="F4" s="12"/>
      <c r="G4" s="12"/>
      <c r="H4" s="13"/>
    </row>
    <row r="5" spans="1:1004" s="102" customFormat="1" ht="11.25" customHeight="1">
      <c r="A5" s="830"/>
      <c r="B5" s="831"/>
      <c r="C5" s="832" t="s">
        <v>2</v>
      </c>
      <c r="D5" s="833">
        <v>1.25</v>
      </c>
      <c r="E5" s="834"/>
      <c r="F5" s="834"/>
      <c r="G5" s="835"/>
      <c r="H5" s="13"/>
    </row>
    <row r="6" spans="1:1004" s="102" customFormat="1" ht="18.75" customHeight="1">
      <c r="A6" s="836"/>
      <c r="B6" s="837"/>
      <c r="C6" s="838" t="s">
        <v>3</v>
      </c>
      <c r="D6" s="11">
        <f>D4*D5</f>
        <v>537.5</v>
      </c>
      <c r="E6" s="834"/>
      <c r="F6" s="834"/>
      <c r="G6" s="136"/>
      <c r="H6" s="839"/>
    </row>
    <row r="7" spans="1:1004" s="102" customFormat="1" ht="11.25" customHeight="1">
      <c r="A7" s="840"/>
      <c r="B7" s="793"/>
      <c r="C7" s="15"/>
      <c r="D7" s="841"/>
      <c r="E7" s="842"/>
      <c r="F7" s="843"/>
      <c r="G7" s="844"/>
      <c r="H7" s="137"/>
    </row>
    <row r="8" spans="1:1004" s="102" customFormat="1" ht="12" customHeight="1">
      <c r="A8" s="845"/>
      <c r="B8" s="16"/>
      <c r="C8" s="16"/>
      <c r="D8" s="846"/>
      <c r="E8" s="847" t="s">
        <v>4</v>
      </c>
      <c r="F8" s="847" t="s">
        <v>5</v>
      </c>
      <c r="G8" s="847" t="s">
        <v>6</v>
      </c>
      <c r="H8" s="848" t="s">
        <v>7</v>
      </c>
    </row>
    <row r="9" spans="1:1004" s="39" customFormat="1" ht="13.5">
      <c r="A9" s="802" t="s">
        <v>255</v>
      </c>
      <c r="B9" s="149"/>
      <c r="C9" s="150"/>
      <c r="D9" s="151"/>
      <c r="E9" s="151"/>
      <c r="F9" s="152"/>
      <c r="G9" s="152"/>
      <c r="H9" s="849"/>
    </row>
    <row r="10" spans="1:1004" s="39" customFormat="1" ht="13.5">
      <c r="A10" s="850"/>
      <c r="B10" s="851"/>
      <c r="C10" s="852" t="s">
        <v>256</v>
      </c>
      <c r="D10" s="853"/>
      <c r="E10" s="854">
        <v>0</v>
      </c>
      <c r="F10" s="855">
        <v>20</v>
      </c>
      <c r="G10" s="856">
        <f>E10*F10</f>
        <v>0</v>
      </c>
      <c r="H10" s="857"/>
    </row>
    <row r="11" spans="1:1004" s="42" customFormat="1" ht="13.5">
      <c r="A11" s="850"/>
      <c r="B11" s="851"/>
      <c r="C11" s="852" t="s">
        <v>257</v>
      </c>
      <c r="D11" s="858"/>
      <c r="E11" s="854">
        <v>2</v>
      </c>
      <c r="F11" s="859">
        <v>50</v>
      </c>
      <c r="G11" s="860">
        <f t="shared" ref="G11:G12" si="0">E11*F11</f>
        <v>100</v>
      </c>
      <c r="H11" s="861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</row>
    <row r="12" spans="1:1004" s="42" customFormat="1" ht="13.5">
      <c r="A12" s="850"/>
      <c r="B12" s="851"/>
      <c r="C12" s="852" t="s">
        <v>258</v>
      </c>
      <c r="D12" s="858"/>
      <c r="E12" s="854">
        <v>1</v>
      </c>
      <c r="F12" s="859">
        <v>100</v>
      </c>
      <c r="G12" s="860">
        <f t="shared" si="0"/>
        <v>100</v>
      </c>
      <c r="H12" s="857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</row>
    <row r="13" spans="1:1004" s="102" customFormat="1" ht="13.5">
      <c r="A13" s="850"/>
      <c r="B13" s="851"/>
      <c r="C13" s="862" t="s">
        <v>259</v>
      </c>
      <c r="D13" s="858"/>
      <c r="E13" s="854">
        <v>1</v>
      </c>
      <c r="F13" s="859">
        <v>50</v>
      </c>
      <c r="G13" s="860">
        <f>E13*F13</f>
        <v>50</v>
      </c>
      <c r="H13" s="863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</row>
    <row r="14" spans="1:1004" s="102" customFormat="1" ht="13.5">
      <c r="A14" s="850"/>
      <c r="B14" s="851"/>
      <c r="C14" s="862" t="s">
        <v>260</v>
      </c>
      <c r="D14" s="858"/>
      <c r="E14" s="854">
        <v>1</v>
      </c>
      <c r="F14" s="859">
        <v>120</v>
      </c>
      <c r="G14" s="860">
        <f>E14*F14</f>
        <v>120</v>
      </c>
      <c r="H14" s="863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</row>
    <row r="15" spans="1:1004" s="102" customFormat="1" ht="13.5">
      <c r="A15" s="850"/>
      <c r="B15" s="851"/>
      <c r="C15" s="862" t="s">
        <v>261</v>
      </c>
      <c r="D15" s="858"/>
      <c r="E15" s="854">
        <v>1</v>
      </c>
      <c r="F15" s="859">
        <v>60</v>
      </c>
      <c r="G15" s="860">
        <f>E15*F15</f>
        <v>60</v>
      </c>
      <c r="H15" s="857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</row>
    <row r="16" spans="1:1004" s="39" customFormat="1" ht="11.45" customHeight="1">
      <c r="A16" s="23"/>
      <c r="B16" s="24"/>
      <c r="C16" s="30"/>
      <c r="D16" s="25"/>
      <c r="E16" s="26"/>
      <c r="F16" s="27" t="s">
        <v>15</v>
      </c>
      <c r="G16" s="28">
        <f>SUM(G10:G15)</f>
        <v>430</v>
      </c>
      <c r="H16" s="29"/>
    </row>
    <row r="17" spans="1:8" s="39" customFormat="1" ht="11.45" customHeight="1">
      <c r="A17" s="864"/>
      <c r="B17" s="865"/>
      <c r="C17" s="866"/>
      <c r="D17" s="867"/>
      <c r="E17" s="868"/>
      <c r="F17" s="869" t="s">
        <v>16</v>
      </c>
      <c r="G17" s="870">
        <v>1.25</v>
      </c>
      <c r="H17" s="871"/>
    </row>
    <row r="18" spans="1:8" s="39" customFormat="1" ht="11.45" customHeight="1" thickBot="1">
      <c r="A18" s="872"/>
      <c r="B18" s="873"/>
      <c r="C18" s="874"/>
      <c r="D18" s="875"/>
      <c r="E18" s="876"/>
      <c r="F18" s="877" t="s">
        <v>17</v>
      </c>
      <c r="G18" s="878">
        <f>G16*G17</f>
        <v>537.5</v>
      </c>
      <c r="H18" s="879"/>
    </row>
    <row r="19" spans="1:8" s="102" customFormat="1" ht="13.5">
      <c r="A19" s="104"/>
      <c r="F19" s="105"/>
      <c r="G19" s="105"/>
      <c r="H19" s="105"/>
    </row>
    <row r="20" spans="1:8" s="102" customFormat="1" ht="13.5">
      <c r="A20" s="104"/>
      <c r="F20" s="105"/>
      <c r="G20" s="105"/>
      <c r="H20" s="105"/>
    </row>
    <row r="21" spans="1:8" s="102" customFormat="1" ht="13.5">
      <c r="A21" s="104"/>
      <c r="F21" s="105"/>
      <c r="G21" s="105"/>
      <c r="H21" s="105"/>
    </row>
    <row r="22" spans="1:8" s="102" customFormat="1" ht="13.5">
      <c r="A22" s="104"/>
      <c r="F22" s="105"/>
      <c r="G22" s="105"/>
      <c r="H22" s="105"/>
    </row>
    <row r="23" spans="1:8" s="102" customFormat="1" ht="13.5">
      <c r="A23" s="104"/>
      <c r="F23" s="105"/>
      <c r="G23" s="105"/>
      <c r="H23" s="105"/>
    </row>
    <row r="24" spans="1:8" s="102" customFormat="1" ht="13.5">
      <c r="A24" s="104"/>
      <c r="F24" s="105"/>
      <c r="G24" s="105"/>
      <c r="H24" s="105"/>
    </row>
    <row r="25" spans="1:8" s="102" customFormat="1" ht="13.5">
      <c r="A25" s="104"/>
      <c r="F25" s="105"/>
      <c r="G25" s="105"/>
      <c r="H25" s="105"/>
    </row>
    <row r="26" spans="1:8" s="102" customFormat="1" ht="13.5">
      <c r="A26" s="104"/>
      <c r="F26" s="105"/>
      <c r="G26" s="105"/>
      <c r="H26" s="105"/>
    </row>
    <row r="27" spans="1:8" s="102" customFormat="1" ht="13.5">
      <c r="A27" s="104"/>
      <c r="F27" s="105"/>
      <c r="G27" s="105"/>
      <c r="H27" s="105"/>
    </row>
    <row r="28" spans="1:8" s="102" customFormat="1" ht="13.5">
      <c r="A28" s="104"/>
      <c r="F28" s="105"/>
      <c r="G28" s="105"/>
      <c r="H28" s="105"/>
    </row>
    <row r="29" spans="1:8" s="102" customFormat="1" ht="13.5">
      <c r="A29" s="104"/>
      <c r="F29" s="105"/>
      <c r="G29" s="105"/>
      <c r="H29" s="105"/>
    </row>
    <row r="30" spans="1:8" s="102" customFormat="1" ht="13.5">
      <c r="A30" s="104"/>
      <c r="F30" s="105"/>
      <c r="G30" s="105"/>
      <c r="H30" s="105"/>
    </row>
    <row r="31" spans="1:8" s="102" customFormat="1" ht="13.5">
      <c r="A31" s="104"/>
      <c r="F31" s="105"/>
      <c r="G31" s="105"/>
      <c r="H31" s="105"/>
    </row>
    <row r="32" spans="1:8" s="102" customFormat="1" ht="13.5">
      <c r="A32" s="104"/>
      <c r="F32" s="105"/>
      <c r="G32" s="105"/>
      <c r="H32" s="105"/>
    </row>
    <row r="33" spans="1:8" s="102" customFormat="1" ht="13.5">
      <c r="A33" s="104"/>
      <c r="F33" s="105"/>
      <c r="G33" s="105"/>
      <c r="H33" s="105"/>
    </row>
    <row r="34" spans="1:8" s="102" customFormat="1" ht="13.5">
      <c r="A34" s="104"/>
      <c r="F34" s="105"/>
      <c r="G34" s="105"/>
      <c r="H34" s="105"/>
    </row>
    <row r="35" spans="1:8" s="102" customFormat="1" ht="13.5">
      <c r="A35" s="104"/>
      <c r="F35" s="105"/>
      <c r="G35" s="105"/>
      <c r="H35" s="105"/>
    </row>
    <row r="36" spans="1:8" s="102" customFormat="1" ht="13.5">
      <c r="A36" s="104"/>
      <c r="F36" s="105"/>
      <c r="G36" s="105"/>
      <c r="H36" s="105"/>
    </row>
    <row r="37" spans="1:8" s="102" customFormat="1" ht="13.5">
      <c r="A37" s="104"/>
      <c r="F37" s="105"/>
      <c r="G37" s="105"/>
      <c r="H37" s="105"/>
    </row>
    <row r="38" spans="1:8" s="102" customFormat="1" ht="13.5">
      <c r="A38" s="104"/>
      <c r="F38" s="105"/>
      <c r="G38" s="105"/>
      <c r="H38" s="105"/>
    </row>
    <row r="39" spans="1:8" s="102" customFormat="1" ht="13.5">
      <c r="A39" s="104"/>
      <c r="F39" s="105"/>
      <c r="G39" s="105"/>
      <c r="H39" s="105"/>
    </row>
    <row r="40" spans="1:8" s="102" customFormat="1" ht="13.5">
      <c r="A40" s="104"/>
      <c r="F40" s="105"/>
      <c r="G40" s="105"/>
      <c r="H40" s="105"/>
    </row>
    <row r="41" spans="1:8" s="102" customFormat="1" ht="13.5">
      <c r="A41" s="104"/>
      <c r="F41" s="105"/>
      <c r="G41" s="105"/>
      <c r="H41" s="105"/>
    </row>
    <row r="42" spans="1:8" s="102" customFormat="1" ht="13.5">
      <c r="A42" s="104"/>
      <c r="F42" s="105"/>
      <c r="G42" s="105"/>
      <c r="H42" s="105"/>
    </row>
    <row r="43" spans="1:8" s="102" customFormat="1" ht="13.5">
      <c r="A43" s="104"/>
      <c r="F43" s="105"/>
      <c r="G43" s="105"/>
      <c r="H43" s="105"/>
    </row>
    <row r="44" spans="1:8" s="102" customFormat="1" ht="13.5">
      <c r="A44" s="104"/>
      <c r="F44" s="105"/>
      <c r="G44" s="105"/>
      <c r="H44" s="105"/>
    </row>
    <row r="45" spans="1:8" s="102" customFormat="1" ht="13.5">
      <c r="A45" s="104"/>
      <c r="F45" s="105"/>
      <c r="G45" s="105"/>
      <c r="H45" s="105"/>
    </row>
    <row r="46" spans="1:8" s="102" customFormat="1" ht="13.5">
      <c r="A46" s="104"/>
      <c r="F46" s="105"/>
      <c r="G46" s="105"/>
      <c r="H46" s="105"/>
    </row>
  </sheetData>
  <mergeCells count="1">
    <mergeCell ref="A1:H1"/>
  </mergeCells>
  <printOptions horizontalCentered="1"/>
  <pageMargins left="0.5" right="0.5" top="1.5" bottom="1.5" header="1.5" footer="1.5"/>
  <pageSetup scale="74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0F78-CBBB-4013-807A-5E93F02EC8EC}">
  <sheetPr>
    <tabColor theme="4" tint="0.39997558519241921"/>
    <pageSetUpPr fitToPage="1"/>
  </sheetPr>
  <dimension ref="A1:ALP167"/>
  <sheetViews>
    <sheetView zoomScaleNormal="100" zoomScaleSheetLayoutView="100" workbookViewId="0">
      <selection activeCell="J78" sqref="J78"/>
    </sheetView>
  </sheetViews>
  <sheetFormatPr defaultColWidth="9.140625" defaultRowHeight="12.75"/>
  <cols>
    <col min="1" max="1" width="6.42578125" style="106" customWidth="1"/>
    <col min="2" max="2" width="7.85546875" style="99" customWidth="1"/>
    <col min="3" max="3" width="35.7109375" style="99" customWidth="1"/>
    <col min="4" max="4" width="8.5703125" style="99" customWidth="1"/>
    <col min="5" max="5" width="10.7109375" style="99" customWidth="1"/>
    <col min="6" max="7" width="10.7109375" style="107" customWidth="1"/>
    <col min="8" max="8" width="41.85546875" style="107" customWidth="1"/>
    <col min="9" max="16384" width="9.140625" style="99"/>
  </cols>
  <sheetData>
    <row r="1" spans="1:1004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1004" ht="18" customHeight="1">
      <c r="A2" s="2" t="s">
        <v>262</v>
      </c>
      <c r="B2" s="3"/>
      <c r="C2" s="4"/>
      <c r="D2" s="4"/>
      <c r="E2" s="4"/>
      <c r="F2" s="5"/>
      <c r="G2" s="5"/>
      <c r="H2" s="100"/>
    </row>
    <row r="3" spans="1:1004" s="101" customFormat="1">
      <c r="A3" s="880"/>
      <c r="B3" s="881"/>
      <c r="C3" s="881"/>
      <c r="D3" s="881"/>
      <c r="E3" s="881"/>
      <c r="F3" s="881"/>
      <c r="G3" s="881"/>
      <c r="H3" s="882"/>
    </row>
    <row r="4" spans="1:1004" s="102" customFormat="1" ht="11.25" customHeight="1">
      <c r="A4" s="8"/>
      <c r="B4" s="9"/>
      <c r="C4" s="10" t="s">
        <v>1</v>
      </c>
      <c r="D4" s="11">
        <f>SUM(G20,G29,G40,G50,G57,G76,G86,G105,G116,G124,G131,G137)</f>
        <v>2392</v>
      </c>
      <c r="E4" s="12"/>
      <c r="F4" s="12"/>
      <c r="G4" s="12"/>
      <c r="H4" s="13" t="s">
        <v>263</v>
      </c>
    </row>
    <row r="5" spans="1:1004" s="102" customFormat="1" ht="11.25" customHeight="1">
      <c r="A5" s="883"/>
      <c r="B5" s="884"/>
      <c r="C5" s="885" t="s">
        <v>2</v>
      </c>
      <c r="D5" s="886">
        <v>1.2</v>
      </c>
      <c r="E5" s="887"/>
      <c r="F5" s="887"/>
      <c r="G5" s="888"/>
      <c r="H5" s="889"/>
    </row>
    <row r="6" spans="1:1004" s="102" customFormat="1" ht="18.75" customHeight="1">
      <c r="A6" s="890"/>
      <c r="B6" s="891"/>
      <c r="C6" s="892" t="s">
        <v>3</v>
      </c>
      <c r="D6" s="11">
        <f>D4*D5</f>
        <v>2870.4</v>
      </c>
      <c r="E6" s="887"/>
      <c r="F6" s="887"/>
      <c r="G6" s="136"/>
      <c r="H6" s="196"/>
    </row>
    <row r="7" spans="1:1004" s="102" customFormat="1" ht="11.25" customHeight="1">
      <c r="A7" s="893"/>
      <c r="B7" s="894"/>
      <c r="C7" s="15"/>
      <c r="D7" s="895"/>
      <c r="E7" s="896"/>
      <c r="F7" s="897"/>
      <c r="G7" s="898"/>
      <c r="H7" s="197"/>
    </row>
    <row r="8" spans="1:1004" s="102" customFormat="1" ht="12" customHeight="1">
      <c r="A8" s="899"/>
      <c r="B8" s="16"/>
      <c r="C8" s="16"/>
      <c r="D8" s="900"/>
      <c r="E8" s="901" t="s">
        <v>4</v>
      </c>
      <c r="F8" s="901" t="s">
        <v>5</v>
      </c>
      <c r="G8" s="901" t="s">
        <v>6</v>
      </c>
      <c r="H8" s="902" t="s">
        <v>7</v>
      </c>
    </row>
    <row r="9" spans="1:1004" s="39" customFormat="1" ht="13.5">
      <c r="A9" s="802" t="s">
        <v>264</v>
      </c>
      <c r="B9" s="149"/>
      <c r="C9" s="150"/>
      <c r="D9" s="151"/>
      <c r="E9" s="151"/>
      <c r="F9" s="152"/>
      <c r="G9" s="152"/>
      <c r="H9" s="803"/>
    </row>
    <row r="10" spans="1:1004" s="39" customFormat="1" ht="13.5">
      <c r="A10" s="802" t="s">
        <v>265</v>
      </c>
      <c r="B10" s="149"/>
      <c r="C10" s="150"/>
      <c r="D10" s="151"/>
      <c r="E10" s="151"/>
      <c r="F10" s="152"/>
      <c r="G10" s="152"/>
      <c r="H10" s="803"/>
    </row>
    <row r="11" spans="1:1004" s="102" customFormat="1" ht="13.5">
      <c r="A11" s="903"/>
      <c r="B11" s="904"/>
      <c r="C11" s="905" t="s">
        <v>266</v>
      </c>
      <c r="D11" s="906"/>
      <c r="E11" s="907">
        <v>1</v>
      </c>
      <c r="F11" s="907">
        <v>24</v>
      </c>
      <c r="G11" s="908">
        <f>E11*F11</f>
        <v>24</v>
      </c>
      <c r="H11" s="90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</row>
    <row r="12" spans="1:1004" s="39" customFormat="1" ht="13.5">
      <c r="A12" s="138"/>
      <c r="B12" s="904"/>
      <c r="C12" s="910" t="s">
        <v>216</v>
      </c>
      <c r="D12" s="911"/>
      <c r="E12" s="908">
        <v>1</v>
      </c>
      <c r="F12" s="908">
        <v>5</v>
      </c>
      <c r="G12" s="912">
        <f>E12*F12</f>
        <v>5</v>
      </c>
      <c r="H12" s="913"/>
    </row>
    <row r="13" spans="1:1004" s="102" customFormat="1" ht="13.5">
      <c r="A13" s="903"/>
      <c r="B13" s="904"/>
      <c r="C13" s="905" t="s">
        <v>267</v>
      </c>
      <c r="D13" s="906"/>
      <c r="E13" s="908">
        <v>1</v>
      </c>
      <c r="F13" s="908">
        <v>5</v>
      </c>
      <c r="G13" s="908">
        <f>E13*F13</f>
        <v>5</v>
      </c>
      <c r="H13" s="913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</row>
    <row r="14" spans="1:1004" s="102" customFormat="1" ht="13.5">
      <c r="A14" s="903"/>
      <c r="B14" s="904"/>
      <c r="C14" s="905" t="s">
        <v>268</v>
      </c>
      <c r="D14" s="906"/>
      <c r="E14" s="908">
        <v>1</v>
      </c>
      <c r="F14" s="908">
        <v>24</v>
      </c>
      <c r="G14" s="908">
        <f>E14*F14</f>
        <v>24</v>
      </c>
      <c r="H14" s="913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</row>
    <row r="15" spans="1:1004" s="102" customFormat="1" ht="13.5">
      <c r="A15" s="903"/>
      <c r="B15" s="904"/>
      <c r="C15" s="905" t="s">
        <v>269</v>
      </c>
      <c r="D15" s="906"/>
      <c r="E15" s="907">
        <v>1</v>
      </c>
      <c r="F15" s="907">
        <v>24</v>
      </c>
      <c r="G15" s="908">
        <f>E15*F15</f>
        <v>24</v>
      </c>
      <c r="H15" s="90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</row>
    <row r="16" spans="1:1004" s="102" customFormat="1" ht="13.5">
      <c r="A16" s="903"/>
      <c r="B16" s="904"/>
      <c r="C16" s="905" t="s">
        <v>270</v>
      </c>
      <c r="D16" s="906"/>
      <c r="E16" s="907">
        <v>2</v>
      </c>
      <c r="F16" s="907">
        <v>5</v>
      </c>
      <c r="G16" s="908">
        <f>E16*F16</f>
        <v>10</v>
      </c>
      <c r="H16" s="90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  <c r="AKI16" s="39"/>
      <c r="AKJ16" s="39"/>
      <c r="AKK16" s="39"/>
      <c r="AKL16" s="39"/>
      <c r="AKM16" s="39"/>
      <c r="AKN16" s="39"/>
      <c r="AKO16" s="39"/>
      <c r="AKP16" s="39"/>
      <c r="AKQ16" s="39"/>
      <c r="AKR16" s="39"/>
      <c r="AKS16" s="39"/>
      <c r="AKT16" s="39"/>
      <c r="AKU16" s="39"/>
      <c r="AKV16" s="39"/>
      <c r="AKW16" s="39"/>
      <c r="AKX16" s="39"/>
      <c r="AKY16" s="39"/>
      <c r="AKZ16" s="39"/>
      <c r="ALA16" s="39"/>
      <c r="ALB16" s="39"/>
      <c r="ALC16" s="39"/>
      <c r="ALD16" s="39"/>
      <c r="ALE16" s="39"/>
      <c r="ALF16" s="39"/>
      <c r="ALG16" s="39"/>
      <c r="ALH16" s="39"/>
      <c r="ALI16" s="39"/>
      <c r="ALJ16" s="39"/>
      <c r="ALK16" s="39"/>
      <c r="ALL16" s="39"/>
      <c r="ALM16" s="39"/>
      <c r="ALN16" s="39"/>
      <c r="ALO16" s="39"/>
      <c r="ALP16" s="39"/>
    </row>
    <row r="17" spans="1:1004" s="102" customFormat="1" ht="13.5">
      <c r="A17" s="903"/>
      <c r="B17" s="904"/>
      <c r="C17" s="905" t="s">
        <v>271</v>
      </c>
      <c r="D17" s="906"/>
      <c r="E17" s="907">
        <v>1</v>
      </c>
      <c r="F17" s="907">
        <v>24</v>
      </c>
      <c r="G17" s="908">
        <f>E17*F17</f>
        <v>24</v>
      </c>
      <c r="H17" s="90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9"/>
      <c r="AKQ17" s="39"/>
      <c r="AKR17" s="39"/>
      <c r="AKS17" s="39"/>
      <c r="AKT17" s="39"/>
      <c r="AKU17" s="39"/>
      <c r="AKV17" s="39"/>
      <c r="AKW17" s="39"/>
      <c r="AKX17" s="39"/>
      <c r="AKY17" s="39"/>
      <c r="AKZ17" s="39"/>
      <c r="ALA17" s="39"/>
      <c r="ALB17" s="39"/>
      <c r="ALC17" s="39"/>
      <c r="ALD17" s="39"/>
      <c r="ALE17" s="39"/>
      <c r="ALF17" s="39"/>
      <c r="ALG17" s="39"/>
      <c r="ALH17" s="39"/>
      <c r="ALI17" s="39"/>
      <c r="ALJ17" s="39"/>
      <c r="ALK17" s="39"/>
      <c r="ALL17" s="39"/>
      <c r="ALM17" s="39"/>
      <c r="ALN17" s="39"/>
      <c r="ALO17" s="39"/>
      <c r="ALP17" s="39"/>
    </row>
    <row r="18" spans="1:1004" s="102" customFormat="1" ht="13.5">
      <c r="A18" s="903"/>
      <c r="B18" s="904"/>
      <c r="C18" s="905" t="s">
        <v>272</v>
      </c>
      <c r="D18" s="906"/>
      <c r="E18" s="907">
        <v>12</v>
      </c>
      <c r="F18" s="907">
        <v>5</v>
      </c>
      <c r="G18" s="908">
        <f>E18*F18</f>
        <v>60</v>
      </c>
      <c r="H18" s="90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  <c r="SQ18" s="39"/>
      <c r="SR18" s="39"/>
      <c r="SS18" s="39"/>
      <c r="ST18" s="39"/>
      <c r="SU18" s="39"/>
      <c r="SV18" s="39"/>
      <c r="SW18" s="39"/>
      <c r="SX18" s="39"/>
      <c r="SY18" s="39"/>
      <c r="SZ18" s="39"/>
      <c r="TA18" s="39"/>
      <c r="TB18" s="39"/>
      <c r="TC18" s="39"/>
      <c r="TD18" s="39"/>
      <c r="TE18" s="39"/>
      <c r="TF18" s="39"/>
      <c r="TG18" s="39"/>
      <c r="TH18" s="39"/>
      <c r="TI18" s="39"/>
      <c r="TJ18" s="39"/>
      <c r="TK18" s="39"/>
      <c r="TL18" s="39"/>
      <c r="TM18" s="39"/>
      <c r="TN18" s="39"/>
      <c r="TO18" s="39"/>
      <c r="TP18" s="39"/>
      <c r="TQ18" s="39"/>
      <c r="TR18" s="39"/>
      <c r="TS18" s="39"/>
      <c r="TT18" s="39"/>
      <c r="TU18" s="39"/>
      <c r="TV18" s="39"/>
      <c r="TW18" s="39"/>
      <c r="TX18" s="39"/>
      <c r="TY18" s="39"/>
      <c r="TZ18" s="39"/>
      <c r="UA18" s="39"/>
      <c r="UB18" s="39"/>
      <c r="UC18" s="39"/>
      <c r="UD18" s="39"/>
      <c r="UE18" s="39"/>
      <c r="UF18" s="39"/>
      <c r="UG18" s="39"/>
      <c r="UH18" s="39"/>
      <c r="UI18" s="39"/>
      <c r="UJ18" s="39"/>
      <c r="UK18" s="39"/>
      <c r="UL18" s="39"/>
      <c r="UM18" s="39"/>
      <c r="UN18" s="39"/>
      <c r="UO18" s="39"/>
      <c r="UP18" s="39"/>
      <c r="UQ18" s="39"/>
      <c r="UR18" s="39"/>
      <c r="US18" s="39"/>
      <c r="UT18" s="39"/>
      <c r="UU18" s="39"/>
      <c r="UV18" s="39"/>
      <c r="UW18" s="39"/>
      <c r="UX18" s="39"/>
      <c r="UY18" s="39"/>
      <c r="UZ18" s="39"/>
      <c r="VA18" s="39"/>
      <c r="VB18" s="39"/>
      <c r="VC18" s="39"/>
      <c r="VD18" s="39"/>
      <c r="VE18" s="39"/>
      <c r="VF18" s="39"/>
      <c r="VG18" s="39"/>
      <c r="VH18" s="39"/>
      <c r="VI18" s="39"/>
      <c r="VJ18" s="39"/>
      <c r="VK18" s="39"/>
      <c r="VL18" s="39"/>
      <c r="VM18" s="39"/>
      <c r="VN18" s="39"/>
      <c r="VO18" s="39"/>
      <c r="VP18" s="39"/>
      <c r="VQ18" s="39"/>
      <c r="VR18" s="39"/>
      <c r="VS18" s="39"/>
      <c r="VT18" s="39"/>
      <c r="VU18" s="39"/>
      <c r="VV18" s="39"/>
      <c r="VW18" s="39"/>
      <c r="VX18" s="39"/>
      <c r="VY18" s="39"/>
      <c r="VZ18" s="39"/>
      <c r="WA18" s="39"/>
      <c r="WB18" s="39"/>
      <c r="WC18" s="39"/>
      <c r="WD18" s="39"/>
      <c r="WE18" s="39"/>
      <c r="WF18" s="39"/>
      <c r="WG18" s="39"/>
      <c r="WH18" s="39"/>
      <c r="WI18" s="39"/>
      <c r="WJ18" s="39"/>
      <c r="WK18" s="39"/>
      <c r="WL18" s="39"/>
      <c r="WM18" s="39"/>
      <c r="WN18" s="39"/>
      <c r="WO18" s="39"/>
      <c r="WP18" s="39"/>
      <c r="WQ18" s="39"/>
      <c r="WR18" s="39"/>
      <c r="WS18" s="39"/>
      <c r="WT18" s="39"/>
      <c r="WU18" s="39"/>
      <c r="WV18" s="39"/>
      <c r="WW18" s="39"/>
      <c r="WX18" s="39"/>
      <c r="WY18" s="39"/>
      <c r="WZ18" s="39"/>
      <c r="XA18" s="39"/>
      <c r="XB18" s="39"/>
      <c r="XC18" s="39"/>
      <c r="XD18" s="39"/>
      <c r="XE18" s="39"/>
      <c r="XF18" s="39"/>
      <c r="XG18" s="39"/>
      <c r="XH18" s="39"/>
      <c r="XI18" s="39"/>
      <c r="XJ18" s="39"/>
      <c r="XK18" s="39"/>
      <c r="XL18" s="39"/>
      <c r="XM18" s="39"/>
      <c r="XN18" s="39"/>
      <c r="XO18" s="39"/>
      <c r="XP18" s="39"/>
      <c r="XQ18" s="39"/>
      <c r="XR18" s="39"/>
      <c r="XS18" s="39"/>
      <c r="XT18" s="39"/>
      <c r="XU18" s="39"/>
      <c r="XV18" s="39"/>
      <c r="XW18" s="39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39"/>
      <c r="ZM18" s="39"/>
      <c r="ZN18" s="39"/>
      <c r="ZO18" s="39"/>
      <c r="ZP18" s="39"/>
      <c r="ZQ18" s="39"/>
      <c r="ZR18" s="39"/>
      <c r="ZS18" s="39"/>
      <c r="ZT18" s="39"/>
      <c r="ZU18" s="39"/>
      <c r="ZV18" s="39"/>
      <c r="ZW18" s="39"/>
      <c r="ZX18" s="39"/>
      <c r="ZY18" s="39"/>
      <c r="ZZ18" s="39"/>
      <c r="AAA18" s="39"/>
      <c r="AAB18" s="39"/>
      <c r="AAC18" s="39"/>
      <c r="AAD18" s="39"/>
      <c r="AAE18" s="39"/>
      <c r="AAF18" s="39"/>
      <c r="AAG18" s="39"/>
      <c r="AAH18" s="39"/>
      <c r="AAI18" s="39"/>
      <c r="AAJ18" s="39"/>
      <c r="AAK18" s="39"/>
      <c r="AAL18" s="39"/>
      <c r="AAM18" s="39"/>
      <c r="AAN18" s="39"/>
      <c r="AAO18" s="39"/>
      <c r="AAP18" s="39"/>
      <c r="AAQ18" s="39"/>
      <c r="AAR18" s="39"/>
      <c r="AAS18" s="39"/>
      <c r="AAT18" s="39"/>
      <c r="AAU18" s="39"/>
      <c r="AAV18" s="39"/>
      <c r="AAW18" s="39"/>
      <c r="AAX18" s="39"/>
      <c r="AAY18" s="39"/>
      <c r="AAZ18" s="39"/>
      <c r="ABA18" s="39"/>
      <c r="ABB18" s="39"/>
      <c r="ABC18" s="39"/>
      <c r="ABD18" s="39"/>
      <c r="ABE18" s="39"/>
      <c r="ABF18" s="39"/>
      <c r="ABG18" s="39"/>
      <c r="ABH18" s="39"/>
      <c r="ABI18" s="39"/>
      <c r="ABJ18" s="39"/>
      <c r="ABK18" s="39"/>
      <c r="ABL18" s="39"/>
      <c r="ABM18" s="39"/>
      <c r="ABN18" s="39"/>
      <c r="ABO18" s="39"/>
      <c r="ABP18" s="39"/>
      <c r="ABQ18" s="39"/>
      <c r="ABR18" s="39"/>
      <c r="ABS18" s="39"/>
      <c r="ABT18" s="39"/>
      <c r="ABU18" s="39"/>
      <c r="ABV18" s="39"/>
      <c r="ABW18" s="39"/>
      <c r="ABX18" s="39"/>
      <c r="ABY18" s="39"/>
      <c r="ABZ18" s="39"/>
      <c r="ACA18" s="39"/>
      <c r="ACB18" s="39"/>
      <c r="ACC18" s="39"/>
      <c r="ACD18" s="39"/>
      <c r="ACE18" s="39"/>
      <c r="ACF18" s="39"/>
      <c r="ACG18" s="39"/>
      <c r="ACH18" s="39"/>
      <c r="ACI18" s="39"/>
      <c r="ACJ18" s="39"/>
      <c r="ACK18" s="39"/>
      <c r="ACL18" s="39"/>
      <c r="ACM18" s="39"/>
      <c r="ACN18" s="39"/>
      <c r="ACO18" s="39"/>
      <c r="ACP18" s="39"/>
      <c r="ACQ18" s="39"/>
      <c r="ACR18" s="39"/>
      <c r="ACS18" s="39"/>
      <c r="ACT18" s="39"/>
      <c r="ACU18" s="39"/>
      <c r="ACV18" s="39"/>
      <c r="ACW18" s="39"/>
      <c r="ACX18" s="39"/>
      <c r="ACY18" s="39"/>
      <c r="ACZ18" s="39"/>
      <c r="ADA18" s="39"/>
      <c r="ADB18" s="39"/>
      <c r="ADC18" s="39"/>
      <c r="ADD18" s="39"/>
      <c r="ADE18" s="39"/>
      <c r="ADF18" s="39"/>
      <c r="ADG18" s="39"/>
      <c r="ADH18" s="39"/>
      <c r="ADI18" s="39"/>
      <c r="ADJ18" s="39"/>
      <c r="ADK18" s="39"/>
      <c r="ADL18" s="39"/>
      <c r="ADM18" s="39"/>
      <c r="ADN18" s="39"/>
      <c r="ADO18" s="39"/>
      <c r="ADP18" s="39"/>
      <c r="ADQ18" s="39"/>
      <c r="ADR18" s="39"/>
      <c r="ADS18" s="39"/>
      <c r="ADT18" s="39"/>
      <c r="ADU18" s="39"/>
      <c r="ADV18" s="39"/>
      <c r="ADW18" s="39"/>
      <c r="ADX18" s="39"/>
      <c r="ADY18" s="39"/>
      <c r="ADZ18" s="39"/>
      <c r="AEA18" s="39"/>
      <c r="AEB18" s="39"/>
      <c r="AEC18" s="39"/>
      <c r="AED18" s="39"/>
      <c r="AEE18" s="39"/>
      <c r="AEF18" s="39"/>
      <c r="AEG18" s="39"/>
      <c r="AEH18" s="39"/>
      <c r="AEI18" s="39"/>
      <c r="AEJ18" s="39"/>
      <c r="AEK18" s="39"/>
      <c r="AEL18" s="39"/>
      <c r="AEM18" s="39"/>
      <c r="AEN18" s="39"/>
      <c r="AEO18" s="39"/>
      <c r="AEP18" s="39"/>
      <c r="AEQ18" s="39"/>
      <c r="AER18" s="39"/>
      <c r="AES18" s="39"/>
      <c r="AET18" s="39"/>
      <c r="AEU18" s="39"/>
      <c r="AEV18" s="39"/>
      <c r="AEW18" s="39"/>
      <c r="AEX18" s="39"/>
      <c r="AEY18" s="39"/>
      <c r="AEZ18" s="39"/>
      <c r="AFA18" s="39"/>
      <c r="AFB18" s="39"/>
      <c r="AFC18" s="39"/>
      <c r="AFD18" s="39"/>
      <c r="AFE18" s="39"/>
      <c r="AFF18" s="39"/>
      <c r="AFG18" s="39"/>
      <c r="AFH18" s="39"/>
      <c r="AFI18" s="39"/>
      <c r="AFJ18" s="39"/>
      <c r="AFK18" s="39"/>
      <c r="AFL18" s="39"/>
      <c r="AFM18" s="39"/>
      <c r="AFN18" s="39"/>
      <c r="AFO18" s="39"/>
      <c r="AFP18" s="39"/>
      <c r="AFQ18" s="39"/>
      <c r="AFR18" s="39"/>
      <c r="AFS18" s="39"/>
      <c r="AFT18" s="39"/>
      <c r="AFU18" s="39"/>
      <c r="AFV18" s="39"/>
      <c r="AFW18" s="39"/>
      <c r="AFX18" s="39"/>
      <c r="AFY18" s="39"/>
      <c r="AFZ18" s="39"/>
      <c r="AGA18" s="39"/>
      <c r="AGB18" s="39"/>
      <c r="AGC18" s="39"/>
      <c r="AGD18" s="39"/>
      <c r="AGE18" s="39"/>
      <c r="AGF18" s="39"/>
      <c r="AGG18" s="39"/>
      <c r="AGH18" s="39"/>
      <c r="AGI18" s="39"/>
      <c r="AGJ18" s="39"/>
      <c r="AGK18" s="39"/>
      <c r="AGL18" s="39"/>
      <c r="AGM18" s="39"/>
      <c r="AGN18" s="39"/>
      <c r="AGO18" s="39"/>
      <c r="AGP18" s="39"/>
      <c r="AGQ18" s="39"/>
      <c r="AGR18" s="39"/>
      <c r="AGS18" s="39"/>
      <c r="AGT18" s="39"/>
      <c r="AGU18" s="39"/>
      <c r="AGV18" s="39"/>
      <c r="AGW18" s="39"/>
      <c r="AGX18" s="39"/>
      <c r="AGY18" s="39"/>
      <c r="AGZ18" s="39"/>
      <c r="AHA18" s="39"/>
      <c r="AHB18" s="39"/>
      <c r="AHC18" s="39"/>
      <c r="AHD18" s="39"/>
      <c r="AHE18" s="39"/>
      <c r="AHF18" s="39"/>
      <c r="AHG18" s="39"/>
      <c r="AHH18" s="39"/>
      <c r="AHI18" s="39"/>
      <c r="AHJ18" s="39"/>
      <c r="AHK18" s="39"/>
      <c r="AHL18" s="39"/>
      <c r="AHM18" s="39"/>
      <c r="AHN18" s="39"/>
      <c r="AHO18" s="39"/>
      <c r="AHP18" s="39"/>
      <c r="AHQ18" s="39"/>
      <c r="AHR18" s="39"/>
      <c r="AHS18" s="39"/>
      <c r="AHT18" s="39"/>
      <c r="AHU18" s="39"/>
      <c r="AHV18" s="39"/>
      <c r="AHW18" s="39"/>
      <c r="AHX18" s="39"/>
      <c r="AHY18" s="39"/>
      <c r="AHZ18" s="39"/>
      <c r="AIA18" s="39"/>
      <c r="AIB18" s="39"/>
      <c r="AIC18" s="39"/>
      <c r="AID18" s="39"/>
      <c r="AIE18" s="39"/>
      <c r="AIF18" s="39"/>
      <c r="AIG18" s="39"/>
      <c r="AIH18" s="39"/>
      <c r="AII18" s="39"/>
      <c r="AIJ18" s="39"/>
      <c r="AIK18" s="39"/>
      <c r="AIL18" s="39"/>
      <c r="AIM18" s="39"/>
      <c r="AIN18" s="39"/>
      <c r="AIO18" s="39"/>
      <c r="AIP18" s="39"/>
      <c r="AIQ18" s="39"/>
      <c r="AIR18" s="39"/>
      <c r="AIS18" s="39"/>
      <c r="AIT18" s="39"/>
      <c r="AIU18" s="39"/>
      <c r="AIV18" s="39"/>
      <c r="AIW18" s="39"/>
      <c r="AIX18" s="39"/>
      <c r="AIY18" s="39"/>
      <c r="AIZ18" s="39"/>
      <c r="AJA18" s="39"/>
      <c r="AJB18" s="39"/>
      <c r="AJC18" s="39"/>
      <c r="AJD18" s="39"/>
      <c r="AJE18" s="39"/>
      <c r="AJF18" s="39"/>
      <c r="AJG18" s="39"/>
      <c r="AJH18" s="39"/>
      <c r="AJI18" s="39"/>
      <c r="AJJ18" s="39"/>
      <c r="AJK18" s="39"/>
      <c r="AJL18" s="39"/>
      <c r="AJM18" s="39"/>
      <c r="AJN18" s="39"/>
      <c r="AJO18" s="39"/>
      <c r="AJP18" s="39"/>
      <c r="AJQ18" s="39"/>
      <c r="AJR18" s="39"/>
      <c r="AJS18" s="39"/>
      <c r="AJT18" s="39"/>
      <c r="AJU18" s="39"/>
      <c r="AJV18" s="39"/>
      <c r="AJW18" s="39"/>
      <c r="AJX18" s="39"/>
      <c r="AJY18" s="39"/>
      <c r="AJZ18" s="39"/>
      <c r="AKA18" s="39"/>
      <c r="AKB18" s="39"/>
      <c r="AKC18" s="39"/>
      <c r="AKD18" s="39"/>
      <c r="AKE18" s="39"/>
      <c r="AKF18" s="39"/>
      <c r="AKG18" s="39"/>
      <c r="AKH18" s="39"/>
      <c r="AKI18" s="39"/>
      <c r="AKJ18" s="39"/>
      <c r="AKK18" s="39"/>
      <c r="AKL18" s="39"/>
      <c r="AKM18" s="39"/>
      <c r="AKN18" s="39"/>
      <c r="AKO18" s="39"/>
      <c r="AKP18" s="39"/>
      <c r="AKQ18" s="39"/>
      <c r="AKR18" s="39"/>
      <c r="AKS18" s="39"/>
      <c r="AKT18" s="39"/>
      <c r="AKU18" s="39"/>
      <c r="AKV18" s="39"/>
      <c r="AKW18" s="39"/>
      <c r="AKX18" s="39"/>
      <c r="AKY18" s="39"/>
      <c r="AKZ18" s="39"/>
      <c r="ALA18" s="39"/>
      <c r="ALB18" s="39"/>
      <c r="ALC18" s="39"/>
      <c r="ALD18" s="39"/>
      <c r="ALE18" s="39"/>
      <c r="ALF18" s="39"/>
      <c r="ALG18" s="39"/>
      <c r="ALH18" s="39"/>
      <c r="ALI18" s="39"/>
      <c r="ALJ18" s="39"/>
      <c r="ALK18" s="39"/>
      <c r="ALL18" s="39"/>
      <c r="ALM18" s="39"/>
      <c r="ALN18" s="39"/>
      <c r="ALO18" s="39"/>
      <c r="ALP18" s="39"/>
    </row>
    <row r="19" spans="1:1004" s="102" customFormat="1" ht="13.5">
      <c r="A19" s="903"/>
      <c r="B19" s="904"/>
      <c r="C19" s="905" t="s">
        <v>273</v>
      </c>
      <c r="D19" s="906"/>
      <c r="E19" s="907">
        <v>1</v>
      </c>
      <c r="F19" s="907">
        <v>5</v>
      </c>
      <c r="G19" s="908">
        <f>E19*F19</f>
        <v>5</v>
      </c>
      <c r="H19" s="90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9"/>
      <c r="LO19" s="39"/>
      <c r="LP19" s="39"/>
      <c r="LQ19" s="39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  <c r="SG19" s="39"/>
      <c r="SH19" s="39"/>
      <c r="SI19" s="39"/>
      <c r="SJ19" s="39"/>
      <c r="SK19" s="39"/>
      <c r="SL19" s="39"/>
      <c r="SM19" s="39"/>
      <c r="SN19" s="39"/>
      <c r="SO19" s="39"/>
      <c r="SP19" s="39"/>
      <c r="SQ19" s="39"/>
      <c r="SR19" s="39"/>
      <c r="SS19" s="39"/>
      <c r="ST19" s="39"/>
      <c r="SU19" s="39"/>
      <c r="SV19" s="39"/>
      <c r="SW19" s="39"/>
      <c r="SX19" s="39"/>
      <c r="SY19" s="39"/>
      <c r="SZ19" s="39"/>
      <c r="TA19" s="39"/>
      <c r="TB19" s="39"/>
      <c r="TC19" s="39"/>
      <c r="TD19" s="39"/>
      <c r="TE19" s="39"/>
      <c r="TF19" s="39"/>
      <c r="TG19" s="39"/>
      <c r="TH19" s="39"/>
      <c r="TI19" s="39"/>
      <c r="TJ19" s="39"/>
      <c r="TK19" s="39"/>
      <c r="TL19" s="39"/>
      <c r="TM19" s="39"/>
      <c r="TN19" s="39"/>
      <c r="TO19" s="39"/>
      <c r="TP19" s="39"/>
      <c r="TQ19" s="39"/>
      <c r="TR19" s="39"/>
      <c r="TS19" s="39"/>
      <c r="TT19" s="39"/>
      <c r="TU19" s="39"/>
      <c r="TV19" s="39"/>
      <c r="TW19" s="39"/>
      <c r="TX19" s="39"/>
      <c r="TY19" s="39"/>
      <c r="TZ19" s="39"/>
      <c r="UA19" s="39"/>
      <c r="UB19" s="39"/>
      <c r="UC19" s="39"/>
      <c r="UD19" s="39"/>
      <c r="UE19" s="39"/>
      <c r="UF19" s="39"/>
      <c r="UG19" s="39"/>
      <c r="UH19" s="39"/>
      <c r="UI19" s="39"/>
      <c r="UJ19" s="39"/>
      <c r="UK19" s="39"/>
      <c r="UL19" s="39"/>
      <c r="UM19" s="39"/>
      <c r="UN19" s="39"/>
      <c r="UO19" s="39"/>
      <c r="UP19" s="39"/>
      <c r="UQ19" s="39"/>
      <c r="UR19" s="39"/>
      <c r="US19" s="39"/>
      <c r="UT19" s="39"/>
      <c r="UU19" s="39"/>
      <c r="UV19" s="39"/>
      <c r="UW19" s="39"/>
      <c r="UX19" s="39"/>
      <c r="UY19" s="39"/>
      <c r="UZ19" s="39"/>
      <c r="VA19" s="39"/>
      <c r="VB19" s="39"/>
      <c r="VC19" s="39"/>
      <c r="VD19" s="39"/>
      <c r="VE19" s="39"/>
      <c r="VF19" s="39"/>
      <c r="VG19" s="39"/>
      <c r="VH19" s="39"/>
      <c r="VI19" s="39"/>
      <c r="VJ19" s="39"/>
      <c r="VK19" s="39"/>
      <c r="VL19" s="39"/>
      <c r="VM19" s="39"/>
      <c r="VN19" s="39"/>
      <c r="VO19" s="39"/>
      <c r="VP19" s="39"/>
      <c r="VQ19" s="39"/>
      <c r="VR19" s="39"/>
      <c r="VS19" s="39"/>
      <c r="VT19" s="39"/>
      <c r="VU19" s="39"/>
      <c r="VV19" s="39"/>
      <c r="VW19" s="39"/>
      <c r="VX19" s="39"/>
      <c r="VY19" s="39"/>
      <c r="VZ19" s="39"/>
      <c r="WA19" s="39"/>
      <c r="WB19" s="39"/>
      <c r="WC19" s="39"/>
      <c r="WD19" s="39"/>
      <c r="WE19" s="39"/>
      <c r="WF19" s="39"/>
      <c r="WG19" s="39"/>
      <c r="WH19" s="39"/>
      <c r="WI19" s="39"/>
      <c r="WJ19" s="39"/>
      <c r="WK19" s="39"/>
      <c r="WL19" s="39"/>
      <c r="WM19" s="39"/>
      <c r="WN19" s="39"/>
      <c r="WO19" s="39"/>
      <c r="WP19" s="39"/>
      <c r="WQ19" s="39"/>
      <c r="WR19" s="39"/>
      <c r="WS19" s="39"/>
      <c r="WT19" s="39"/>
      <c r="WU19" s="39"/>
      <c r="WV19" s="39"/>
      <c r="WW19" s="39"/>
      <c r="WX19" s="39"/>
      <c r="WY19" s="39"/>
      <c r="WZ19" s="39"/>
      <c r="XA19" s="39"/>
      <c r="XB19" s="39"/>
      <c r="XC19" s="39"/>
      <c r="XD19" s="39"/>
      <c r="XE19" s="39"/>
      <c r="XF19" s="39"/>
      <c r="XG19" s="39"/>
      <c r="XH19" s="39"/>
      <c r="XI19" s="39"/>
      <c r="XJ19" s="39"/>
      <c r="XK19" s="39"/>
      <c r="XL19" s="39"/>
      <c r="XM19" s="39"/>
      <c r="XN19" s="39"/>
      <c r="XO19" s="39"/>
      <c r="XP19" s="39"/>
      <c r="XQ19" s="39"/>
      <c r="XR19" s="39"/>
      <c r="XS19" s="39"/>
      <c r="XT19" s="39"/>
      <c r="XU19" s="39"/>
      <c r="XV19" s="39"/>
      <c r="XW19" s="39"/>
      <c r="XX19" s="39"/>
      <c r="XY19" s="39"/>
      <c r="XZ19" s="39"/>
      <c r="YA19" s="39"/>
      <c r="YB19" s="39"/>
      <c r="YC19" s="39"/>
      <c r="YD19" s="39"/>
      <c r="YE19" s="39"/>
      <c r="YF19" s="39"/>
      <c r="YG19" s="39"/>
      <c r="YH19" s="39"/>
      <c r="YI19" s="39"/>
      <c r="YJ19" s="39"/>
      <c r="YK19" s="39"/>
      <c r="YL19" s="39"/>
      <c r="YM19" s="39"/>
      <c r="YN19" s="39"/>
      <c r="YO19" s="39"/>
      <c r="YP19" s="39"/>
      <c r="YQ19" s="39"/>
      <c r="YR19" s="39"/>
      <c r="YS19" s="39"/>
      <c r="YT19" s="39"/>
      <c r="YU19" s="39"/>
      <c r="YV19" s="39"/>
      <c r="YW19" s="39"/>
      <c r="YX19" s="39"/>
      <c r="YY19" s="39"/>
      <c r="YZ19" s="39"/>
      <c r="ZA19" s="39"/>
      <c r="ZB19" s="39"/>
      <c r="ZC19" s="39"/>
      <c r="ZD19" s="39"/>
      <c r="ZE19" s="39"/>
      <c r="ZF19" s="39"/>
      <c r="ZG19" s="39"/>
      <c r="ZH19" s="39"/>
      <c r="ZI19" s="39"/>
      <c r="ZJ19" s="39"/>
      <c r="ZK19" s="39"/>
      <c r="ZL19" s="39"/>
      <c r="ZM19" s="39"/>
      <c r="ZN19" s="39"/>
      <c r="ZO19" s="39"/>
      <c r="ZP19" s="39"/>
      <c r="ZQ19" s="39"/>
      <c r="ZR19" s="39"/>
      <c r="ZS19" s="39"/>
      <c r="ZT19" s="39"/>
      <c r="ZU19" s="39"/>
      <c r="ZV19" s="39"/>
      <c r="ZW19" s="39"/>
      <c r="ZX19" s="39"/>
      <c r="ZY19" s="39"/>
      <c r="ZZ19" s="39"/>
      <c r="AAA19" s="39"/>
      <c r="AAB19" s="39"/>
      <c r="AAC19" s="39"/>
      <c r="AAD19" s="39"/>
      <c r="AAE19" s="39"/>
      <c r="AAF19" s="39"/>
      <c r="AAG19" s="39"/>
      <c r="AAH19" s="39"/>
      <c r="AAI19" s="39"/>
      <c r="AAJ19" s="39"/>
      <c r="AAK19" s="39"/>
      <c r="AAL19" s="39"/>
      <c r="AAM19" s="39"/>
      <c r="AAN19" s="39"/>
      <c r="AAO19" s="39"/>
      <c r="AAP19" s="39"/>
      <c r="AAQ19" s="39"/>
      <c r="AAR19" s="39"/>
      <c r="AAS19" s="39"/>
      <c r="AAT19" s="39"/>
      <c r="AAU19" s="39"/>
      <c r="AAV19" s="39"/>
      <c r="AAW19" s="39"/>
      <c r="AAX19" s="39"/>
      <c r="AAY19" s="39"/>
      <c r="AAZ19" s="39"/>
      <c r="ABA19" s="39"/>
      <c r="ABB19" s="39"/>
      <c r="ABC19" s="39"/>
      <c r="ABD19" s="39"/>
      <c r="ABE19" s="39"/>
      <c r="ABF19" s="39"/>
      <c r="ABG19" s="39"/>
      <c r="ABH19" s="39"/>
      <c r="ABI19" s="39"/>
      <c r="ABJ19" s="39"/>
      <c r="ABK19" s="39"/>
      <c r="ABL19" s="39"/>
      <c r="ABM19" s="39"/>
      <c r="ABN19" s="39"/>
      <c r="ABO19" s="39"/>
      <c r="ABP19" s="39"/>
      <c r="ABQ19" s="39"/>
      <c r="ABR19" s="39"/>
      <c r="ABS19" s="39"/>
      <c r="ABT19" s="39"/>
      <c r="ABU19" s="39"/>
      <c r="ABV19" s="39"/>
      <c r="ABW19" s="39"/>
      <c r="ABX19" s="39"/>
      <c r="ABY19" s="39"/>
      <c r="ABZ19" s="39"/>
      <c r="ACA19" s="39"/>
      <c r="ACB19" s="39"/>
      <c r="ACC19" s="39"/>
      <c r="ACD19" s="39"/>
      <c r="ACE19" s="39"/>
      <c r="ACF19" s="39"/>
      <c r="ACG19" s="39"/>
      <c r="ACH19" s="39"/>
      <c r="ACI19" s="39"/>
      <c r="ACJ19" s="39"/>
      <c r="ACK19" s="39"/>
      <c r="ACL19" s="39"/>
      <c r="ACM19" s="39"/>
      <c r="ACN19" s="39"/>
      <c r="ACO19" s="39"/>
      <c r="ACP19" s="39"/>
      <c r="ACQ19" s="39"/>
      <c r="ACR19" s="39"/>
      <c r="ACS19" s="39"/>
      <c r="ACT19" s="39"/>
      <c r="ACU19" s="39"/>
      <c r="ACV19" s="39"/>
      <c r="ACW19" s="39"/>
      <c r="ACX19" s="39"/>
      <c r="ACY19" s="39"/>
      <c r="ACZ19" s="39"/>
      <c r="ADA19" s="39"/>
      <c r="ADB19" s="39"/>
      <c r="ADC19" s="39"/>
      <c r="ADD19" s="39"/>
      <c r="ADE19" s="39"/>
      <c r="ADF19" s="39"/>
      <c r="ADG19" s="39"/>
      <c r="ADH19" s="39"/>
      <c r="ADI19" s="39"/>
      <c r="ADJ19" s="39"/>
      <c r="ADK19" s="39"/>
      <c r="ADL19" s="39"/>
      <c r="ADM19" s="39"/>
      <c r="ADN19" s="39"/>
      <c r="ADO19" s="39"/>
      <c r="ADP19" s="39"/>
      <c r="ADQ19" s="39"/>
      <c r="ADR19" s="39"/>
      <c r="ADS19" s="39"/>
      <c r="ADT19" s="39"/>
      <c r="ADU19" s="39"/>
      <c r="ADV19" s="39"/>
      <c r="ADW19" s="39"/>
      <c r="ADX19" s="39"/>
      <c r="ADY19" s="39"/>
      <c r="ADZ19" s="39"/>
      <c r="AEA19" s="39"/>
      <c r="AEB19" s="39"/>
      <c r="AEC19" s="39"/>
      <c r="AED19" s="39"/>
      <c r="AEE19" s="39"/>
      <c r="AEF19" s="39"/>
      <c r="AEG19" s="39"/>
      <c r="AEH19" s="39"/>
      <c r="AEI19" s="39"/>
      <c r="AEJ19" s="39"/>
      <c r="AEK19" s="39"/>
      <c r="AEL19" s="39"/>
      <c r="AEM19" s="39"/>
      <c r="AEN19" s="39"/>
      <c r="AEO19" s="39"/>
      <c r="AEP19" s="39"/>
      <c r="AEQ19" s="39"/>
      <c r="AER19" s="39"/>
      <c r="AES19" s="39"/>
      <c r="AET19" s="39"/>
      <c r="AEU19" s="39"/>
      <c r="AEV19" s="39"/>
      <c r="AEW19" s="39"/>
      <c r="AEX19" s="39"/>
      <c r="AEY19" s="39"/>
      <c r="AEZ19" s="39"/>
      <c r="AFA19" s="39"/>
      <c r="AFB19" s="39"/>
      <c r="AFC19" s="39"/>
      <c r="AFD19" s="39"/>
      <c r="AFE19" s="39"/>
      <c r="AFF19" s="39"/>
      <c r="AFG19" s="39"/>
      <c r="AFH19" s="39"/>
      <c r="AFI19" s="39"/>
      <c r="AFJ19" s="39"/>
      <c r="AFK19" s="39"/>
      <c r="AFL19" s="39"/>
      <c r="AFM19" s="39"/>
      <c r="AFN19" s="39"/>
      <c r="AFO19" s="39"/>
      <c r="AFP19" s="39"/>
      <c r="AFQ19" s="39"/>
      <c r="AFR19" s="39"/>
      <c r="AFS19" s="39"/>
      <c r="AFT19" s="39"/>
      <c r="AFU19" s="39"/>
      <c r="AFV19" s="39"/>
      <c r="AFW19" s="39"/>
      <c r="AFX19" s="39"/>
      <c r="AFY19" s="39"/>
      <c r="AFZ19" s="39"/>
      <c r="AGA19" s="39"/>
      <c r="AGB19" s="39"/>
      <c r="AGC19" s="39"/>
      <c r="AGD19" s="39"/>
      <c r="AGE19" s="39"/>
      <c r="AGF19" s="39"/>
      <c r="AGG19" s="39"/>
      <c r="AGH19" s="39"/>
      <c r="AGI19" s="39"/>
      <c r="AGJ19" s="39"/>
      <c r="AGK19" s="39"/>
      <c r="AGL19" s="39"/>
      <c r="AGM19" s="39"/>
      <c r="AGN19" s="39"/>
      <c r="AGO19" s="39"/>
      <c r="AGP19" s="39"/>
      <c r="AGQ19" s="39"/>
      <c r="AGR19" s="39"/>
      <c r="AGS19" s="39"/>
      <c r="AGT19" s="39"/>
      <c r="AGU19" s="39"/>
      <c r="AGV19" s="39"/>
      <c r="AGW19" s="39"/>
      <c r="AGX19" s="39"/>
      <c r="AGY19" s="39"/>
      <c r="AGZ19" s="39"/>
      <c r="AHA19" s="39"/>
      <c r="AHB19" s="39"/>
      <c r="AHC19" s="39"/>
      <c r="AHD19" s="39"/>
      <c r="AHE19" s="39"/>
      <c r="AHF19" s="39"/>
      <c r="AHG19" s="39"/>
      <c r="AHH19" s="39"/>
      <c r="AHI19" s="39"/>
      <c r="AHJ19" s="39"/>
      <c r="AHK19" s="39"/>
      <c r="AHL19" s="39"/>
      <c r="AHM19" s="39"/>
      <c r="AHN19" s="39"/>
      <c r="AHO19" s="39"/>
      <c r="AHP19" s="39"/>
      <c r="AHQ19" s="39"/>
      <c r="AHR19" s="39"/>
      <c r="AHS19" s="39"/>
      <c r="AHT19" s="39"/>
      <c r="AHU19" s="39"/>
      <c r="AHV19" s="39"/>
      <c r="AHW19" s="39"/>
      <c r="AHX19" s="39"/>
      <c r="AHY19" s="39"/>
      <c r="AHZ19" s="39"/>
      <c r="AIA19" s="39"/>
      <c r="AIB19" s="39"/>
      <c r="AIC19" s="39"/>
      <c r="AID19" s="39"/>
      <c r="AIE19" s="39"/>
      <c r="AIF19" s="39"/>
      <c r="AIG19" s="39"/>
      <c r="AIH19" s="39"/>
      <c r="AII19" s="39"/>
      <c r="AIJ19" s="39"/>
      <c r="AIK19" s="39"/>
      <c r="AIL19" s="39"/>
      <c r="AIM19" s="39"/>
      <c r="AIN19" s="39"/>
      <c r="AIO19" s="39"/>
      <c r="AIP19" s="39"/>
      <c r="AIQ19" s="39"/>
      <c r="AIR19" s="39"/>
      <c r="AIS19" s="39"/>
      <c r="AIT19" s="39"/>
      <c r="AIU19" s="39"/>
      <c r="AIV19" s="39"/>
      <c r="AIW19" s="39"/>
      <c r="AIX19" s="39"/>
      <c r="AIY19" s="39"/>
      <c r="AIZ19" s="39"/>
      <c r="AJA19" s="39"/>
      <c r="AJB19" s="39"/>
      <c r="AJC19" s="39"/>
      <c r="AJD19" s="39"/>
      <c r="AJE19" s="39"/>
      <c r="AJF19" s="39"/>
      <c r="AJG19" s="39"/>
      <c r="AJH19" s="39"/>
      <c r="AJI19" s="39"/>
      <c r="AJJ19" s="39"/>
      <c r="AJK19" s="39"/>
      <c r="AJL19" s="39"/>
      <c r="AJM19" s="39"/>
      <c r="AJN19" s="39"/>
      <c r="AJO19" s="39"/>
      <c r="AJP19" s="39"/>
      <c r="AJQ19" s="39"/>
      <c r="AJR19" s="39"/>
      <c r="AJS19" s="39"/>
      <c r="AJT19" s="39"/>
      <c r="AJU19" s="39"/>
      <c r="AJV19" s="39"/>
      <c r="AJW19" s="39"/>
      <c r="AJX19" s="39"/>
      <c r="AJY19" s="39"/>
      <c r="AJZ19" s="39"/>
      <c r="AKA19" s="39"/>
      <c r="AKB19" s="39"/>
      <c r="AKC19" s="39"/>
      <c r="AKD19" s="39"/>
      <c r="AKE19" s="39"/>
      <c r="AKF19" s="39"/>
      <c r="AKG19" s="39"/>
      <c r="AKH19" s="39"/>
      <c r="AKI19" s="39"/>
      <c r="AKJ19" s="39"/>
      <c r="AKK19" s="39"/>
      <c r="AKL19" s="39"/>
      <c r="AKM19" s="39"/>
      <c r="AKN19" s="39"/>
      <c r="AKO19" s="39"/>
      <c r="AKP19" s="39"/>
      <c r="AKQ19" s="39"/>
      <c r="AKR19" s="39"/>
      <c r="AKS19" s="39"/>
      <c r="AKT19" s="39"/>
      <c r="AKU19" s="39"/>
      <c r="AKV19" s="39"/>
      <c r="AKW19" s="39"/>
      <c r="AKX19" s="39"/>
      <c r="AKY19" s="39"/>
      <c r="AKZ19" s="39"/>
      <c r="ALA19" s="39"/>
      <c r="ALB19" s="39"/>
      <c r="ALC19" s="39"/>
      <c r="ALD19" s="39"/>
      <c r="ALE19" s="39"/>
      <c r="ALF19" s="39"/>
      <c r="ALG19" s="39"/>
      <c r="ALH19" s="39"/>
      <c r="ALI19" s="39"/>
      <c r="ALJ19" s="39"/>
      <c r="ALK19" s="39"/>
      <c r="ALL19" s="39"/>
      <c r="ALM19" s="39"/>
      <c r="ALN19" s="39"/>
      <c r="ALO19" s="39"/>
      <c r="ALP19" s="39"/>
    </row>
    <row r="20" spans="1:1004" s="39" customFormat="1" ht="11.45" customHeight="1">
      <c r="A20" s="23"/>
      <c r="B20" s="24"/>
      <c r="C20" s="30"/>
      <c r="D20" s="25"/>
      <c r="E20" s="26"/>
      <c r="F20" s="27" t="s">
        <v>15</v>
      </c>
      <c r="G20" s="28">
        <f>SUM(G11:G19)</f>
        <v>181</v>
      </c>
      <c r="H20" s="29"/>
    </row>
    <row r="21" spans="1:1004" s="39" customFormat="1" ht="11.45" customHeight="1">
      <c r="A21" s="914"/>
      <c r="B21" s="915"/>
      <c r="C21" s="916"/>
      <c r="D21" s="917"/>
      <c r="E21" s="918"/>
      <c r="F21" s="919" t="s">
        <v>16</v>
      </c>
      <c r="G21" s="920">
        <v>1.2</v>
      </c>
      <c r="H21" s="921"/>
    </row>
    <row r="22" spans="1:1004" s="39" customFormat="1" ht="11.45" customHeight="1">
      <c r="A22" s="922"/>
      <c r="B22" s="923"/>
      <c r="C22" s="924"/>
      <c r="D22" s="925"/>
      <c r="E22" s="926"/>
      <c r="F22" s="927" t="s">
        <v>17</v>
      </c>
      <c r="G22" s="928">
        <f>G20*G21</f>
        <v>217.2</v>
      </c>
      <c r="H22" s="929"/>
    </row>
    <row r="23" spans="1:1004" s="39" customFormat="1" ht="13.5">
      <c r="A23" s="802" t="s">
        <v>274</v>
      </c>
      <c r="B23" s="149"/>
      <c r="C23" s="150"/>
      <c r="D23" s="151"/>
      <c r="E23" s="151"/>
      <c r="F23" s="152"/>
      <c r="G23" s="152"/>
      <c r="H23" s="803"/>
    </row>
    <row r="24" spans="1:1004" s="102" customFormat="1" ht="13.5">
      <c r="A24" s="903"/>
      <c r="B24" s="904"/>
      <c r="C24" s="930" t="s">
        <v>275</v>
      </c>
      <c r="D24" s="906"/>
      <c r="E24" s="931">
        <v>0</v>
      </c>
      <c r="F24" s="932">
        <v>10</v>
      </c>
      <c r="G24" s="908">
        <f>E24*F24</f>
        <v>0</v>
      </c>
      <c r="H24" s="933"/>
    </row>
    <row r="25" spans="1:1004" s="102" customFormat="1" ht="13.5">
      <c r="A25" s="903"/>
      <c r="B25" s="904"/>
      <c r="C25" s="930" t="s">
        <v>276</v>
      </c>
      <c r="D25" s="906"/>
      <c r="E25" s="931">
        <v>2</v>
      </c>
      <c r="F25" s="932">
        <v>24</v>
      </c>
      <c r="G25" s="908">
        <f>E25*F25</f>
        <v>48</v>
      </c>
      <c r="H25" s="933"/>
    </row>
    <row r="26" spans="1:1004" s="42" customFormat="1" ht="13.5">
      <c r="A26" s="903"/>
      <c r="B26" s="904"/>
      <c r="C26" s="930" t="s">
        <v>277</v>
      </c>
      <c r="D26" s="906"/>
      <c r="E26" s="931">
        <v>0</v>
      </c>
      <c r="F26" s="908">
        <v>120</v>
      </c>
      <c r="G26" s="908">
        <f>E26*F26</f>
        <v>0</v>
      </c>
      <c r="H26" s="933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39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39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39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39"/>
      <c r="PE26" s="39"/>
      <c r="PF26" s="39"/>
      <c r="PG26" s="39"/>
      <c r="PH26" s="39"/>
      <c r="PI26" s="39"/>
      <c r="PJ26" s="39"/>
      <c r="PK26" s="39"/>
      <c r="PL26" s="39"/>
      <c r="PM26" s="39"/>
      <c r="PN26" s="39"/>
      <c r="PO26" s="39"/>
      <c r="PP26" s="39"/>
      <c r="PQ26" s="39"/>
      <c r="PR26" s="39"/>
      <c r="PS26" s="39"/>
      <c r="PT26" s="39"/>
      <c r="PU26" s="39"/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/>
      <c r="QG26" s="39"/>
      <c r="QH26" s="39"/>
      <c r="QI26" s="39"/>
      <c r="QJ26" s="39"/>
      <c r="QK26" s="39"/>
      <c r="QL26" s="39"/>
      <c r="QM26" s="39"/>
      <c r="QN26" s="39"/>
      <c r="QO26" s="39"/>
      <c r="QP26" s="39"/>
      <c r="QQ26" s="39"/>
      <c r="QR26" s="39"/>
      <c r="QS26" s="39"/>
      <c r="QT26" s="39"/>
      <c r="QU26" s="39"/>
      <c r="QV26" s="39"/>
      <c r="QW26" s="39"/>
      <c r="QX26" s="39"/>
      <c r="QY26" s="39"/>
      <c r="QZ26" s="39"/>
      <c r="RA26" s="39"/>
      <c r="RB26" s="39"/>
      <c r="RC26" s="39"/>
      <c r="RD26" s="39"/>
      <c r="RE26" s="39"/>
      <c r="RF26" s="39"/>
      <c r="RG26" s="39"/>
      <c r="RH26" s="39"/>
      <c r="RI26" s="39"/>
      <c r="RJ26" s="39"/>
      <c r="RK26" s="39"/>
      <c r="RL26" s="39"/>
      <c r="RM26" s="39"/>
      <c r="RN26" s="39"/>
      <c r="RO26" s="39"/>
      <c r="RP26" s="39"/>
      <c r="RQ26" s="39"/>
      <c r="RR26" s="39"/>
      <c r="RS26" s="39"/>
      <c r="RT26" s="39"/>
      <c r="RU26" s="39"/>
      <c r="RV26" s="39"/>
      <c r="RW26" s="39"/>
      <c r="RX26" s="39"/>
      <c r="RY26" s="39"/>
      <c r="RZ26" s="39"/>
      <c r="SA26" s="39"/>
      <c r="SB26" s="39"/>
      <c r="SC26" s="39"/>
      <c r="SD26" s="39"/>
      <c r="SE26" s="39"/>
      <c r="SF26" s="39"/>
      <c r="SG26" s="39"/>
      <c r="SH26" s="39"/>
      <c r="SI26" s="39"/>
      <c r="SJ26" s="39"/>
      <c r="SK26" s="39"/>
      <c r="SL26" s="39"/>
      <c r="SM26" s="39"/>
      <c r="SN26" s="39"/>
      <c r="SO26" s="39"/>
      <c r="SP26" s="39"/>
      <c r="SQ26" s="39"/>
      <c r="SR26" s="39"/>
      <c r="SS26" s="39"/>
      <c r="ST26" s="39"/>
      <c r="SU26" s="39"/>
      <c r="SV26" s="39"/>
      <c r="SW26" s="39"/>
      <c r="SX26" s="39"/>
      <c r="SY26" s="39"/>
      <c r="SZ26" s="39"/>
      <c r="TA26" s="39"/>
      <c r="TB26" s="39"/>
      <c r="TC26" s="39"/>
      <c r="TD26" s="39"/>
      <c r="TE26" s="39"/>
      <c r="TF26" s="39"/>
      <c r="TG26" s="39"/>
      <c r="TH26" s="39"/>
      <c r="TI26" s="39"/>
      <c r="TJ26" s="39"/>
      <c r="TK26" s="39"/>
      <c r="TL26" s="39"/>
      <c r="TM26" s="39"/>
      <c r="TN26" s="39"/>
      <c r="TO26" s="39"/>
      <c r="TP26" s="39"/>
      <c r="TQ26" s="39"/>
      <c r="TR26" s="39"/>
      <c r="TS26" s="39"/>
      <c r="TT26" s="39"/>
      <c r="TU26" s="39"/>
      <c r="TV26" s="39"/>
      <c r="TW26" s="39"/>
      <c r="TX26" s="39"/>
      <c r="TY26" s="39"/>
      <c r="TZ26" s="39"/>
      <c r="UA26" s="39"/>
      <c r="UB26" s="39"/>
      <c r="UC26" s="39"/>
      <c r="UD26" s="39"/>
      <c r="UE26" s="39"/>
      <c r="UF26" s="39"/>
      <c r="UG26" s="39"/>
      <c r="UH26" s="39"/>
      <c r="UI26" s="39"/>
      <c r="UJ26" s="39"/>
      <c r="UK26" s="39"/>
      <c r="UL26" s="39"/>
      <c r="UM26" s="39"/>
      <c r="UN26" s="39"/>
      <c r="UO26" s="39"/>
      <c r="UP26" s="39"/>
      <c r="UQ26" s="39"/>
      <c r="UR26" s="39"/>
      <c r="US26" s="39"/>
      <c r="UT26" s="39"/>
      <c r="UU26" s="39"/>
      <c r="UV26" s="39"/>
      <c r="UW26" s="39"/>
      <c r="UX26" s="39"/>
      <c r="UY26" s="39"/>
      <c r="UZ26" s="39"/>
      <c r="VA26" s="39"/>
      <c r="VB26" s="39"/>
      <c r="VC26" s="39"/>
      <c r="VD26" s="39"/>
      <c r="VE26" s="39"/>
      <c r="VF26" s="39"/>
      <c r="VG26" s="39"/>
      <c r="VH26" s="39"/>
      <c r="VI26" s="39"/>
      <c r="VJ26" s="39"/>
      <c r="VK26" s="39"/>
      <c r="VL26" s="39"/>
      <c r="VM26" s="39"/>
      <c r="VN26" s="39"/>
      <c r="VO26" s="39"/>
      <c r="VP26" s="39"/>
      <c r="VQ26" s="39"/>
      <c r="VR26" s="39"/>
      <c r="VS26" s="39"/>
      <c r="VT26" s="39"/>
      <c r="VU26" s="39"/>
      <c r="VV26" s="39"/>
      <c r="VW26" s="39"/>
      <c r="VX26" s="39"/>
      <c r="VY26" s="39"/>
      <c r="VZ26" s="39"/>
      <c r="WA26" s="39"/>
      <c r="WB26" s="39"/>
      <c r="WC26" s="39"/>
      <c r="WD26" s="39"/>
      <c r="WE26" s="39"/>
      <c r="WF26" s="39"/>
      <c r="WG26" s="39"/>
      <c r="WH26" s="39"/>
      <c r="WI26" s="39"/>
      <c r="WJ26" s="39"/>
      <c r="WK26" s="39"/>
      <c r="WL26" s="39"/>
      <c r="WM26" s="39"/>
      <c r="WN26" s="39"/>
      <c r="WO26" s="39"/>
      <c r="WP26" s="39"/>
      <c r="WQ26" s="39"/>
      <c r="WR26" s="39"/>
      <c r="WS26" s="39"/>
      <c r="WT26" s="39"/>
      <c r="WU26" s="39"/>
      <c r="WV26" s="39"/>
      <c r="WW26" s="39"/>
      <c r="WX26" s="39"/>
      <c r="WY26" s="39"/>
      <c r="WZ26" s="39"/>
      <c r="XA26" s="39"/>
      <c r="XB26" s="39"/>
      <c r="XC26" s="39"/>
      <c r="XD26" s="39"/>
      <c r="XE26" s="39"/>
      <c r="XF26" s="39"/>
      <c r="XG26" s="39"/>
      <c r="XH26" s="39"/>
      <c r="XI26" s="39"/>
      <c r="XJ26" s="39"/>
      <c r="XK26" s="39"/>
      <c r="XL26" s="39"/>
      <c r="XM26" s="39"/>
      <c r="XN26" s="39"/>
      <c r="XO26" s="39"/>
      <c r="XP26" s="39"/>
      <c r="XQ26" s="39"/>
      <c r="XR26" s="39"/>
      <c r="XS26" s="39"/>
      <c r="XT26" s="39"/>
      <c r="XU26" s="39"/>
      <c r="XV26" s="39"/>
      <c r="XW26" s="39"/>
      <c r="XX26" s="39"/>
      <c r="XY26" s="39"/>
      <c r="XZ26" s="39"/>
      <c r="YA26" s="39"/>
      <c r="YB26" s="39"/>
      <c r="YC26" s="39"/>
      <c r="YD26" s="39"/>
      <c r="YE26" s="39"/>
      <c r="YF26" s="39"/>
      <c r="YG26" s="39"/>
      <c r="YH26" s="39"/>
      <c r="YI26" s="39"/>
      <c r="YJ26" s="39"/>
      <c r="YK26" s="39"/>
      <c r="YL26" s="39"/>
      <c r="YM26" s="39"/>
      <c r="YN26" s="39"/>
      <c r="YO26" s="39"/>
      <c r="YP26" s="39"/>
      <c r="YQ26" s="39"/>
      <c r="YR26" s="39"/>
      <c r="YS26" s="39"/>
      <c r="YT26" s="39"/>
      <c r="YU26" s="39"/>
      <c r="YV26" s="39"/>
      <c r="YW26" s="39"/>
      <c r="YX26" s="39"/>
      <c r="YY26" s="39"/>
      <c r="YZ26" s="39"/>
      <c r="ZA26" s="39"/>
      <c r="ZB26" s="39"/>
      <c r="ZC26" s="39"/>
      <c r="ZD26" s="39"/>
      <c r="ZE26" s="39"/>
      <c r="ZF26" s="39"/>
      <c r="ZG26" s="39"/>
      <c r="ZH26" s="39"/>
      <c r="ZI26" s="39"/>
      <c r="ZJ26" s="39"/>
      <c r="ZK26" s="39"/>
      <c r="ZL26" s="39"/>
      <c r="ZM26" s="39"/>
      <c r="ZN26" s="39"/>
      <c r="ZO26" s="39"/>
      <c r="ZP26" s="39"/>
      <c r="ZQ26" s="39"/>
      <c r="ZR26" s="39"/>
      <c r="ZS26" s="39"/>
      <c r="ZT26" s="39"/>
      <c r="ZU26" s="39"/>
      <c r="ZV26" s="39"/>
      <c r="ZW26" s="39"/>
      <c r="ZX26" s="39"/>
      <c r="ZY26" s="39"/>
      <c r="ZZ26" s="39"/>
      <c r="AAA26" s="39"/>
      <c r="AAB26" s="39"/>
      <c r="AAC26" s="39"/>
      <c r="AAD26" s="39"/>
      <c r="AAE26" s="39"/>
      <c r="AAF26" s="39"/>
      <c r="AAG26" s="39"/>
      <c r="AAH26" s="39"/>
      <c r="AAI26" s="39"/>
      <c r="AAJ26" s="39"/>
      <c r="AAK26" s="39"/>
      <c r="AAL26" s="39"/>
      <c r="AAM26" s="39"/>
      <c r="AAN26" s="39"/>
      <c r="AAO26" s="39"/>
      <c r="AAP26" s="39"/>
      <c r="AAQ26" s="39"/>
      <c r="AAR26" s="39"/>
      <c r="AAS26" s="39"/>
      <c r="AAT26" s="39"/>
      <c r="AAU26" s="39"/>
      <c r="AAV26" s="39"/>
      <c r="AAW26" s="39"/>
      <c r="AAX26" s="39"/>
      <c r="AAY26" s="39"/>
      <c r="AAZ26" s="39"/>
      <c r="ABA26" s="39"/>
      <c r="ABB26" s="39"/>
      <c r="ABC26" s="39"/>
      <c r="ABD26" s="39"/>
      <c r="ABE26" s="39"/>
      <c r="ABF26" s="39"/>
      <c r="ABG26" s="39"/>
      <c r="ABH26" s="39"/>
      <c r="ABI26" s="39"/>
      <c r="ABJ26" s="39"/>
      <c r="ABK26" s="39"/>
      <c r="ABL26" s="39"/>
      <c r="ABM26" s="39"/>
      <c r="ABN26" s="39"/>
      <c r="ABO26" s="39"/>
      <c r="ABP26" s="39"/>
      <c r="ABQ26" s="39"/>
      <c r="ABR26" s="39"/>
      <c r="ABS26" s="39"/>
      <c r="ABT26" s="39"/>
      <c r="ABU26" s="39"/>
      <c r="ABV26" s="39"/>
      <c r="ABW26" s="39"/>
      <c r="ABX26" s="39"/>
      <c r="ABY26" s="39"/>
      <c r="ABZ26" s="39"/>
      <c r="ACA26" s="39"/>
      <c r="ACB26" s="39"/>
      <c r="ACC26" s="39"/>
      <c r="ACD26" s="39"/>
      <c r="ACE26" s="39"/>
      <c r="ACF26" s="39"/>
      <c r="ACG26" s="39"/>
      <c r="ACH26" s="39"/>
      <c r="ACI26" s="39"/>
      <c r="ACJ26" s="39"/>
      <c r="ACK26" s="39"/>
      <c r="ACL26" s="39"/>
      <c r="ACM26" s="39"/>
      <c r="ACN26" s="39"/>
      <c r="ACO26" s="39"/>
      <c r="ACP26" s="39"/>
      <c r="ACQ26" s="39"/>
      <c r="ACR26" s="39"/>
      <c r="ACS26" s="39"/>
      <c r="ACT26" s="39"/>
      <c r="ACU26" s="39"/>
      <c r="ACV26" s="39"/>
      <c r="ACW26" s="39"/>
      <c r="ACX26" s="39"/>
      <c r="ACY26" s="39"/>
      <c r="ACZ26" s="39"/>
      <c r="ADA26" s="39"/>
      <c r="ADB26" s="39"/>
      <c r="ADC26" s="39"/>
      <c r="ADD26" s="39"/>
      <c r="ADE26" s="39"/>
      <c r="ADF26" s="39"/>
      <c r="ADG26" s="39"/>
      <c r="ADH26" s="39"/>
      <c r="ADI26" s="39"/>
      <c r="ADJ26" s="39"/>
      <c r="ADK26" s="39"/>
      <c r="ADL26" s="39"/>
      <c r="ADM26" s="39"/>
      <c r="ADN26" s="39"/>
      <c r="ADO26" s="39"/>
      <c r="ADP26" s="39"/>
      <c r="ADQ26" s="39"/>
      <c r="ADR26" s="39"/>
      <c r="ADS26" s="39"/>
      <c r="ADT26" s="39"/>
      <c r="ADU26" s="39"/>
      <c r="ADV26" s="39"/>
      <c r="ADW26" s="39"/>
      <c r="ADX26" s="39"/>
      <c r="ADY26" s="39"/>
      <c r="ADZ26" s="39"/>
      <c r="AEA26" s="39"/>
      <c r="AEB26" s="39"/>
      <c r="AEC26" s="39"/>
      <c r="AED26" s="39"/>
      <c r="AEE26" s="39"/>
      <c r="AEF26" s="39"/>
      <c r="AEG26" s="39"/>
      <c r="AEH26" s="39"/>
      <c r="AEI26" s="39"/>
      <c r="AEJ26" s="39"/>
      <c r="AEK26" s="39"/>
      <c r="AEL26" s="39"/>
      <c r="AEM26" s="39"/>
      <c r="AEN26" s="39"/>
      <c r="AEO26" s="39"/>
      <c r="AEP26" s="39"/>
      <c r="AEQ26" s="39"/>
      <c r="AER26" s="39"/>
      <c r="AES26" s="39"/>
      <c r="AET26" s="39"/>
      <c r="AEU26" s="39"/>
      <c r="AEV26" s="39"/>
      <c r="AEW26" s="39"/>
      <c r="AEX26" s="39"/>
      <c r="AEY26" s="39"/>
      <c r="AEZ26" s="39"/>
      <c r="AFA26" s="39"/>
      <c r="AFB26" s="39"/>
      <c r="AFC26" s="39"/>
      <c r="AFD26" s="39"/>
      <c r="AFE26" s="39"/>
      <c r="AFF26" s="39"/>
      <c r="AFG26" s="39"/>
      <c r="AFH26" s="39"/>
      <c r="AFI26" s="39"/>
      <c r="AFJ26" s="39"/>
      <c r="AFK26" s="39"/>
      <c r="AFL26" s="39"/>
      <c r="AFM26" s="39"/>
      <c r="AFN26" s="39"/>
      <c r="AFO26" s="39"/>
      <c r="AFP26" s="39"/>
      <c r="AFQ26" s="39"/>
      <c r="AFR26" s="39"/>
      <c r="AFS26" s="39"/>
      <c r="AFT26" s="39"/>
      <c r="AFU26" s="39"/>
      <c r="AFV26" s="39"/>
      <c r="AFW26" s="39"/>
      <c r="AFX26" s="39"/>
      <c r="AFY26" s="39"/>
      <c r="AFZ26" s="39"/>
      <c r="AGA26" s="39"/>
      <c r="AGB26" s="39"/>
      <c r="AGC26" s="39"/>
      <c r="AGD26" s="39"/>
      <c r="AGE26" s="39"/>
      <c r="AGF26" s="39"/>
      <c r="AGG26" s="39"/>
      <c r="AGH26" s="39"/>
      <c r="AGI26" s="39"/>
      <c r="AGJ26" s="39"/>
      <c r="AGK26" s="39"/>
      <c r="AGL26" s="39"/>
      <c r="AGM26" s="39"/>
      <c r="AGN26" s="39"/>
      <c r="AGO26" s="39"/>
      <c r="AGP26" s="39"/>
      <c r="AGQ26" s="39"/>
      <c r="AGR26" s="39"/>
      <c r="AGS26" s="39"/>
      <c r="AGT26" s="39"/>
      <c r="AGU26" s="39"/>
      <c r="AGV26" s="39"/>
      <c r="AGW26" s="39"/>
      <c r="AGX26" s="39"/>
      <c r="AGY26" s="39"/>
      <c r="AGZ26" s="39"/>
      <c r="AHA26" s="39"/>
      <c r="AHB26" s="39"/>
      <c r="AHC26" s="39"/>
      <c r="AHD26" s="39"/>
      <c r="AHE26" s="39"/>
      <c r="AHF26" s="39"/>
      <c r="AHG26" s="39"/>
      <c r="AHH26" s="39"/>
      <c r="AHI26" s="39"/>
      <c r="AHJ26" s="39"/>
      <c r="AHK26" s="39"/>
      <c r="AHL26" s="39"/>
      <c r="AHM26" s="39"/>
      <c r="AHN26" s="39"/>
      <c r="AHO26" s="39"/>
      <c r="AHP26" s="39"/>
      <c r="AHQ26" s="39"/>
      <c r="AHR26" s="39"/>
      <c r="AHS26" s="39"/>
      <c r="AHT26" s="39"/>
      <c r="AHU26" s="39"/>
      <c r="AHV26" s="39"/>
      <c r="AHW26" s="39"/>
      <c r="AHX26" s="39"/>
      <c r="AHY26" s="39"/>
      <c r="AHZ26" s="39"/>
      <c r="AIA26" s="39"/>
      <c r="AIB26" s="39"/>
      <c r="AIC26" s="39"/>
      <c r="AID26" s="39"/>
      <c r="AIE26" s="39"/>
      <c r="AIF26" s="39"/>
      <c r="AIG26" s="39"/>
      <c r="AIH26" s="39"/>
      <c r="AII26" s="39"/>
      <c r="AIJ26" s="39"/>
      <c r="AIK26" s="39"/>
      <c r="AIL26" s="39"/>
      <c r="AIM26" s="39"/>
      <c r="AIN26" s="39"/>
      <c r="AIO26" s="39"/>
      <c r="AIP26" s="39"/>
      <c r="AIQ26" s="39"/>
      <c r="AIR26" s="39"/>
      <c r="AIS26" s="39"/>
      <c r="AIT26" s="39"/>
      <c r="AIU26" s="39"/>
      <c r="AIV26" s="39"/>
      <c r="AIW26" s="39"/>
      <c r="AIX26" s="39"/>
      <c r="AIY26" s="39"/>
      <c r="AIZ26" s="39"/>
      <c r="AJA26" s="39"/>
      <c r="AJB26" s="39"/>
      <c r="AJC26" s="39"/>
      <c r="AJD26" s="39"/>
      <c r="AJE26" s="39"/>
      <c r="AJF26" s="39"/>
      <c r="AJG26" s="39"/>
      <c r="AJH26" s="39"/>
      <c r="AJI26" s="39"/>
      <c r="AJJ26" s="39"/>
      <c r="AJK26" s="39"/>
      <c r="AJL26" s="39"/>
      <c r="AJM26" s="39"/>
      <c r="AJN26" s="39"/>
      <c r="AJO26" s="39"/>
      <c r="AJP26" s="39"/>
      <c r="AJQ26" s="39"/>
      <c r="AJR26" s="39"/>
      <c r="AJS26" s="39"/>
      <c r="AJT26" s="39"/>
      <c r="AJU26" s="39"/>
      <c r="AJV26" s="39"/>
      <c r="AJW26" s="39"/>
      <c r="AJX26" s="39"/>
      <c r="AJY26" s="39"/>
      <c r="AJZ26" s="39"/>
      <c r="AKA26" s="39"/>
      <c r="AKB26" s="39"/>
      <c r="AKC26" s="39"/>
      <c r="AKD26" s="39"/>
      <c r="AKE26" s="39"/>
      <c r="AKF26" s="39"/>
      <c r="AKG26" s="39"/>
      <c r="AKH26" s="39"/>
      <c r="AKI26" s="39"/>
      <c r="AKJ26" s="39"/>
      <c r="AKK26" s="39"/>
      <c r="AKL26" s="39"/>
      <c r="AKM26" s="39"/>
      <c r="AKN26" s="39"/>
      <c r="AKO26" s="39"/>
      <c r="AKP26" s="39"/>
      <c r="AKQ26" s="39"/>
      <c r="AKR26" s="39"/>
      <c r="AKS26" s="39"/>
      <c r="AKT26" s="39"/>
      <c r="AKU26" s="39"/>
      <c r="AKV26" s="39"/>
      <c r="AKW26" s="39"/>
      <c r="AKX26" s="39"/>
      <c r="AKY26" s="39"/>
      <c r="AKZ26" s="39"/>
      <c r="ALA26" s="39"/>
      <c r="ALB26" s="39"/>
      <c r="ALC26" s="39"/>
      <c r="ALD26" s="39"/>
      <c r="ALE26" s="39"/>
      <c r="ALF26" s="39"/>
      <c r="ALG26" s="39"/>
      <c r="ALH26" s="39"/>
      <c r="ALI26" s="39"/>
      <c r="ALJ26" s="39"/>
      <c r="ALK26" s="39"/>
      <c r="ALL26" s="39"/>
      <c r="ALM26" s="39"/>
      <c r="ALN26" s="39"/>
      <c r="ALO26" s="39"/>
      <c r="ALP26" s="39"/>
    </row>
    <row r="27" spans="1:1004" s="42" customFormat="1" ht="13.5">
      <c r="A27" s="903"/>
      <c r="B27" s="904"/>
      <c r="C27" s="930" t="s">
        <v>278</v>
      </c>
      <c r="D27" s="906"/>
      <c r="E27" s="931">
        <v>1</v>
      </c>
      <c r="F27" s="934">
        <v>50</v>
      </c>
      <c r="G27" s="908">
        <f>E27*F27</f>
        <v>50</v>
      </c>
      <c r="H27" s="933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  <c r="SG27" s="39"/>
      <c r="SH27" s="39"/>
      <c r="SI27" s="39"/>
      <c r="SJ27" s="39"/>
      <c r="SK27" s="39"/>
      <c r="SL27" s="39"/>
      <c r="SM27" s="39"/>
      <c r="SN27" s="39"/>
      <c r="SO27" s="39"/>
      <c r="SP27" s="39"/>
      <c r="SQ27" s="39"/>
      <c r="SR27" s="39"/>
      <c r="SS27" s="39"/>
      <c r="ST27" s="39"/>
      <c r="SU27" s="39"/>
      <c r="SV27" s="39"/>
      <c r="SW27" s="39"/>
      <c r="SX27" s="39"/>
      <c r="SY27" s="39"/>
      <c r="SZ27" s="39"/>
      <c r="TA27" s="39"/>
      <c r="TB27" s="39"/>
      <c r="TC27" s="39"/>
      <c r="TD27" s="39"/>
      <c r="TE27" s="39"/>
      <c r="TF27" s="39"/>
      <c r="TG27" s="39"/>
      <c r="TH27" s="39"/>
      <c r="TI27" s="39"/>
      <c r="TJ27" s="39"/>
      <c r="TK27" s="39"/>
      <c r="TL27" s="39"/>
      <c r="TM27" s="39"/>
      <c r="TN27" s="39"/>
      <c r="TO27" s="39"/>
      <c r="TP27" s="39"/>
      <c r="TQ27" s="39"/>
      <c r="TR27" s="39"/>
      <c r="TS27" s="39"/>
      <c r="TT27" s="39"/>
      <c r="TU27" s="39"/>
      <c r="TV27" s="39"/>
      <c r="TW27" s="39"/>
      <c r="TX27" s="39"/>
      <c r="TY27" s="39"/>
      <c r="TZ27" s="39"/>
      <c r="UA27" s="39"/>
      <c r="UB27" s="39"/>
      <c r="UC27" s="39"/>
      <c r="UD27" s="39"/>
      <c r="UE27" s="39"/>
      <c r="UF27" s="39"/>
      <c r="UG27" s="39"/>
      <c r="UH27" s="39"/>
      <c r="UI27" s="39"/>
      <c r="UJ27" s="39"/>
      <c r="UK27" s="39"/>
      <c r="UL27" s="39"/>
      <c r="UM27" s="39"/>
      <c r="UN27" s="39"/>
      <c r="UO27" s="39"/>
      <c r="UP27" s="39"/>
      <c r="UQ27" s="39"/>
      <c r="UR27" s="39"/>
      <c r="US27" s="39"/>
      <c r="UT27" s="39"/>
      <c r="UU27" s="39"/>
      <c r="UV27" s="39"/>
      <c r="UW27" s="39"/>
      <c r="UX27" s="39"/>
      <c r="UY27" s="39"/>
      <c r="UZ27" s="39"/>
      <c r="VA27" s="39"/>
      <c r="VB27" s="39"/>
      <c r="VC27" s="39"/>
      <c r="VD27" s="39"/>
      <c r="VE27" s="39"/>
      <c r="VF27" s="39"/>
      <c r="VG27" s="39"/>
      <c r="VH27" s="39"/>
      <c r="VI27" s="39"/>
      <c r="VJ27" s="39"/>
      <c r="VK27" s="39"/>
      <c r="VL27" s="39"/>
      <c r="VM27" s="39"/>
      <c r="VN27" s="39"/>
      <c r="VO27" s="39"/>
      <c r="VP27" s="39"/>
      <c r="VQ27" s="39"/>
      <c r="VR27" s="39"/>
      <c r="VS27" s="39"/>
      <c r="VT27" s="39"/>
      <c r="VU27" s="39"/>
      <c r="VV27" s="39"/>
      <c r="VW27" s="39"/>
      <c r="VX27" s="39"/>
      <c r="VY27" s="39"/>
      <c r="VZ27" s="39"/>
      <c r="WA27" s="39"/>
      <c r="WB27" s="39"/>
      <c r="WC27" s="39"/>
      <c r="WD27" s="39"/>
      <c r="WE27" s="39"/>
      <c r="WF27" s="39"/>
      <c r="WG27" s="39"/>
      <c r="WH27" s="39"/>
      <c r="WI27" s="39"/>
      <c r="WJ27" s="39"/>
      <c r="WK27" s="39"/>
      <c r="WL27" s="39"/>
      <c r="WM27" s="39"/>
      <c r="WN27" s="39"/>
      <c r="WO27" s="39"/>
      <c r="WP27" s="39"/>
      <c r="WQ27" s="39"/>
      <c r="WR27" s="39"/>
      <c r="WS27" s="39"/>
      <c r="WT27" s="39"/>
      <c r="WU27" s="39"/>
      <c r="WV27" s="39"/>
      <c r="WW27" s="39"/>
      <c r="WX27" s="39"/>
      <c r="WY27" s="39"/>
      <c r="WZ27" s="39"/>
      <c r="XA27" s="39"/>
      <c r="XB27" s="39"/>
      <c r="XC27" s="39"/>
      <c r="XD27" s="39"/>
      <c r="XE27" s="39"/>
      <c r="XF27" s="39"/>
      <c r="XG27" s="39"/>
      <c r="XH27" s="39"/>
      <c r="XI27" s="39"/>
      <c r="XJ27" s="39"/>
      <c r="XK27" s="39"/>
      <c r="XL27" s="39"/>
      <c r="XM27" s="39"/>
      <c r="XN27" s="39"/>
      <c r="XO27" s="39"/>
      <c r="XP27" s="39"/>
      <c r="XQ27" s="39"/>
      <c r="XR27" s="39"/>
      <c r="XS27" s="39"/>
      <c r="XT27" s="39"/>
      <c r="XU27" s="39"/>
      <c r="XV27" s="39"/>
      <c r="XW27" s="39"/>
      <c r="XX27" s="39"/>
      <c r="XY27" s="39"/>
      <c r="XZ27" s="39"/>
      <c r="YA27" s="39"/>
      <c r="YB27" s="39"/>
      <c r="YC27" s="39"/>
      <c r="YD27" s="39"/>
      <c r="YE27" s="39"/>
      <c r="YF27" s="39"/>
      <c r="YG27" s="39"/>
      <c r="YH27" s="39"/>
      <c r="YI27" s="39"/>
      <c r="YJ27" s="39"/>
      <c r="YK27" s="39"/>
      <c r="YL27" s="39"/>
      <c r="YM27" s="39"/>
      <c r="YN27" s="39"/>
      <c r="YO27" s="39"/>
      <c r="YP27" s="39"/>
      <c r="YQ27" s="39"/>
      <c r="YR27" s="39"/>
      <c r="YS27" s="39"/>
      <c r="YT27" s="39"/>
      <c r="YU27" s="39"/>
      <c r="YV27" s="39"/>
      <c r="YW27" s="39"/>
      <c r="YX27" s="39"/>
      <c r="YY27" s="39"/>
      <c r="YZ27" s="39"/>
      <c r="ZA27" s="39"/>
      <c r="ZB27" s="39"/>
      <c r="ZC27" s="39"/>
      <c r="ZD27" s="39"/>
      <c r="ZE27" s="39"/>
      <c r="ZF27" s="39"/>
      <c r="ZG27" s="39"/>
      <c r="ZH27" s="39"/>
      <c r="ZI27" s="39"/>
      <c r="ZJ27" s="39"/>
      <c r="ZK27" s="39"/>
      <c r="ZL27" s="39"/>
      <c r="ZM27" s="39"/>
      <c r="ZN27" s="39"/>
      <c r="ZO27" s="39"/>
      <c r="ZP27" s="39"/>
      <c r="ZQ27" s="39"/>
      <c r="ZR27" s="39"/>
      <c r="ZS27" s="39"/>
      <c r="ZT27" s="39"/>
      <c r="ZU27" s="39"/>
      <c r="ZV27" s="39"/>
      <c r="ZW27" s="39"/>
      <c r="ZX27" s="39"/>
      <c r="ZY27" s="39"/>
      <c r="ZZ27" s="39"/>
      <c r="AAA27" s="39"/>
      <c r="AAB27" s="39"/>
      <c r="AAC27" s="39"/>
      <c r="AAD27" s="39"/>
      <c r="AAE27" s="39"/>
      <c r="AAF27" s="39"/>
      <c r="AAG27" s="39"/>
      <c r="AAH27" s="39"/>
      <c r="AAI27" s="39"/>
      <c r="AAJ27" s="39"/>
      <c r="AAK27" s="39"/>
      <c r="AAL27" s="39"/>
      <c r="AAM27" s="39"/>
      <c r="AAN27" s="39"/>
      <c r="AAO27" s="39"/>
      <c r="AAP27" s="39"/>
      <c r="AAQ27" s="39"/>
      <c r="AAR27" s="39"/>
      <c r="AAS27" s="39"/>
      <c r="AAT27" s="39"/>
      <c r="AAU27" s="39"/>
      <c r="AAV27" s="39"/>
      <c r="AAW27" s="39"/>
      <c r="AAX27" s="39"/>
      <c r="AAY27" s="39"/>
      <c r="AAZ27" s="39"/>
      <c r="ABA27" s="39"/>
      <c r="ABB27" s="39"/>
      <c r="ABC27" s="39"/>
      <c r="ABD27" s="39"/>
      <c r="ABE27" s="39"/>
      <c r="ABF27" s="39"/>
      <c r="ABG27" s="39"/>
      <c r="ABH27" s="39"/>
      <c r="ABI27" s="39"/>
      <c r="ABJ27" s="39"/>
      <c r="ABK27" s="39"/>
      <c r="ABL27" s="39"/>
      <c r="ABM27" s="39"/>
      <c r="ABN27" s="39"/>
      <c r="ABO27" s="39"/>
      <c r="ABP27" s="39"/>
      <c r="ABQ27" s="39"/>
      <c r="ABR27" s="39"/>
      <c r="ABS27" s="39"/>
      <c r="ABT27" s="39"/>
      <c r="ABU27" s="39"/>
      <c r="ABV27" s="39"/>
      <c r="ABW27" s="39"/>
      <c r="ABX27" s="39"/>
      <c r="ABY27" s="39"/>
      <c r="ABZ27" s="39"/>
      <c r="ACA27" s="39"/>
      <c r="ACB27" s="39"/>
      <c r="ACC27" s="39"/>
      <c r="ACD27" s="39"/>
      <c r="ACE27" s="39"/>
      <c r="ACF27" s="39"/>
      <c r="ACG27" s="39"/>
      <c r="ACH27" s="39"/>
      <c r="ACI27" s="39"/>
      <c r="ACJ27" s="39"/>
      <c r="ACK27" s="39"/>
      <c r="ACL27" s="39"/>
      <c r="ACM27" s="39"/>
      <c r="ACN27" s="39"/>
      <c r="ACO27" s="39"/>
      <c r="ACP27" s="39"/>
      <c r="ACQ27" s="39"/>
      <c r="ACR27" s="39"/>
      <c r="ACS27" s="39"/>
      <c r="ACT27" s="39"/>
      <c r="ACU27" s="39"/>
      <c r="ACV27" s="39"/>
      <c r="ACW27" s="39"/>
      <c r="ACX27" s="39"/>
      <c r="ACY27" s="39"/>
      <c r="ACZ27" s="39"/>
      <c r="ADA27" s="39"/>
      <c r="ADB27" s="39"/>
      <c r="ADC27" s="39"/>
      <c r="ADD27" s="39"/>
      <c r="ADE27" s="39"/>
      <c r="ADF27" s="39"/>
      <c r="ADG27" s="39"/>
      <c r="ADH27" s="39"/>
      <c r="ADI27" s="39"/>
      <c r="ADJ27" s="39"/>
      <c r="ADK27" s="39"/>
      <c r="ADL27" s="39"/>
      <c r="ADM27" s="39"/>
      <c r="ADN27" s="39"/>
      <c r="ADO27" s="39"/>
      <c r="ADP27" s="39"/>
      <c r="ADQ27" s="39"/>
      <c r="ADR27" s="39"/>
      <c r="ADS27" s="39"/>
      <c r="ADT27" s="39"/>
      <c r="ADU27" s="39"/>
      <c r="ADV27" s="39"/>
      <c r="ADW27" s="39"/>
      <c r="ADX27" s="39"/>
      <c r="ADY27" s="39"/>
      <c r="ADZ27" s="39"/>
      <c r="AEA27" s="39"/>
      <c r="AEB27" s="39"/>
      <c r="AEC27" s="39"/>
      <c r="AED27" s="39"/>
      <c r="AEE27" s="39"/>
      <c r="AEF27" s="39"/>
      <c r="AEG27" s="39"/>
      <c r="AEH27" s="39"/>
      <c r="AEI27" s="39"/>
      <c r="AEJ27" s="39"/>
      <c r="AEK27" s="39"/>
      <c r="AEL27" s="39"/>
      <c r="AEM27" s="39"/>
      <c r="AEN27" s="39"/>
      <c r="AEO27" s="39"/>
      <c r="AEP27" s="39"/>
      <c r="AEQ27" s="39"/>
      <c r="AER27" s="39"/>
      <c r="AES27" s="39"/>
      <c r="AET27" s="39"/>
      <c r="AEU27" s="39"/>
      <c r="AEV27" s="39"/>
      <c r="AEW27" s="39"/>
      <c r="AEX27" s="39"/>
      <c r="AEY27" s="39"/>
      <c r="AEZ27" s="39"/>
      <c r="AFA27" s="39"/>
      <c r="AFB27" s="39"/>
      <c r="AFC27" s="39"/>
      <c r="AFD27" s="39"/>
      <c r="AFE27" s="39"/>
      <c r="AFF27" s="39"/>
      <c r="AFG27" s="39"/>
      <c r="AFH27" s="39"/>
      <c r="AFI27" s="39"/>
      <c r="AFJ27" s="39"/>
      <c r="AFK27" s="39"/>
      <c r="AFL27" s="39"/>
      <c r="AFM27" s="39"/>
      <c r="AFN27" s="39"/>
      <c r="AFO27" s="39"/>
      <c r="AFP27" s="39"/>
      <c r="AFQ27" s="39"/>
      <c r="AFR27" s="39"/>
      <c r="AFS27" s="39"/>
      <c r="AFT27" s="39"/>
      <c r="AFU27" s="39"/>
      <c r="AFV27" s="39"/>
      <c r="AFW27" s="39"/>
      <c r="AFX27" s="39"/>
      <c r="AFY27" s="39"/>
      <c r="AFZ27" s="39"/>
      <c r="AGA27" s="39"/>
      <c r="AGB27" s="39"/>
      <c r="AGC27" s="39"/>
      <c r="AGD27" s="39"/>
      <c r="AGE27" s="39"/>
      <c r="AGF27" s="39"/>
      <c r="AGG27" s="39"/>
      <c r="AGH27" s="39"/>
      <c r="AGI27" s="39"/>
      <c r="AGJ27" s="39"/>
      <c r="AGK27" s="39"/>
      <c r="AGL27" s="39"/>
      <c r="AGM27" s="39"/>
      <c r="AGN27" s="39"/>
      <c r="AGO27" s="39"/>
      <c r="AGP27" s="39"/>
      <c r="AGQ27" s="39"/>
      <c r="AGR27" s="39"/>
      <c r="AGS27" s="39"/>
      <c r="AGT27" s="39"/>
      <c r="AGU27" s="39"/>
      <c r="AGV27" s="39"/>
      <c r="AGW27" s="39"/>
      <c r="AGX27" s="39"/>
      <c r="AGY27" s="39"/>
      <c r="AGZ27" s="39"/>
      <c r="AHA27" s="39"/>
      <c r="AHB27" s="39"/>
      <c r="AHC27" s="39"/>
      <c r="AHD27" s="39"/>
      <c r="AHE27" s="39"/>
      <c r="AHF27" s="39"/>
      <c r="AHG27" s="39"/>
      <c r="AHH27" s="39"/>
      <c r="AHI27" s="39"/>
      <c r="AHJ27" s="39"/>
      <c r="AHK27" s="39"/>
      <c r="AHL27" s="39"/>
      <c r="AHM27" s="39"/>
      <c r="AHN27" s="39"/>
      <c r="AHO27" s="39"/>
      <c r="AHP27" s="39"/>
      <c r="AHQ27" s="39"/>
      <c r="AHR27" s="39"/>
      <c r="AHS27" s="39"/>
      <c r="AHT27" s="39"/>
      <c r="AHU27" s="39"/>
      <c r="AHV27" s="39"/>
      <c r="AHW27" s="39"/>
      <c r="AHX27" s="39"/>
      <c r="AHY27" s="39"/>
      <c r="AHZ27" s="39"/>
      <c r="AIA27" s="39"/>
      <c r="AIB27" s="39"/>
      <c r="AIC27" s="39"/>
      <c r="AID27" s="39"/>
      <c r="AIE27" s="39"/>
      <c r="AIF27" s="39"/>
      <c r="AIG27" s="39"/>
      <c r="AIH27" s="39"/>
      <c r="AII27" s="39"/>
      <c r="AIJ27" s="39"/>
      <c r="AIK27" s="39"/>
      <c r="AIL27" s="39"/>
      <c r="AIM27" s="39"/>
      <c r="AIN27" s="39"/>
      <c r="AIO27" s="39"/>
      <c r="AIP27" s="39"/>
      <c r="AIQ27" s="39"/>
      <c r="AIR27" s="39"/>
      <c r="AIS27" s="39"/>
      <c r="AIT27" s="39"/>
      <c r="AIU27" s="39"/>
      <c r="AIV27" s="39"/>
      <c r="AIW27" s="39"/>
      <c r="AIX27" s="39"/>
      <c r="AIY27" s="39"/>
      <c r="AIZ27" s="39"/>
      <c r="AJA27" s="39"/>
      <c r="AJB27" s="39"/>
      <c r="AJC27" s="39"/>
      <c r="AJD27" s="39"/>
      <c r="AJE27" s="39"/>
      <c r="AJF27" s="39"/>
      <c r="AJG27" s="39"/>
      <c r="AJH27" s="39"/>
      <c r="AJI27" s="39"/>
      <c r="AJJ27" s="39"/>
      <c r="AJK27" s="39"/>
      <c r="AJL27" s="39"/>
      <c r="AJM27" s="39"/>
      <c r="AJN27" s="39"/>
      <c r="AJO27" s="39"/>
      <c r="AJP27" s="39"/>
      <c r="AJQ27" s="39"/>
      <c r="AJR27" s="39"/>
      <c r="AJS27" s="39"/>
      <c r="AJT27" s="39"/>
      <c r="AJU27" s="39"/>
      <c r="AJV27" s="39"/>
      <c r="AJW27" s="39"/>
      <c r="AJX27" s="39"/>
      <c r="AJY27" s="39"/>
      <c r="AJZ27" s="39"/>
      <c r="AKA27" s="39"/>
      <c r="AKB27" s="39"/>
      <c r="AKC27" s="39"/>
      <c r="AKD27" s="39"/>
      <c r="AKE27" s="39"/>
      <c r="AKF27" s="39"/>
      <c r="AKG27" s="39"/>
      <c r="AKH27" s="39"/>
      <c r="AKI27" s="39"/>
      <c r="AKJ27" s="39"/>
      <c r="AKK27" s="39"/>
      <c r="AKL27" s="39"/>
      <c r="AKM27" s="39"/>
      <c r="AKN27" s="39"/>
      <c r="AKO27" s="39"/>
      <c r="AKP27" s="39"/>
      <c r="AKQ27" s="39"/>
      <c r="AKR27" s="39"/>
      <c r="AKS27" s="39"/>
      <c r="AKT27" s="39"/>
      <c r="AKU27" s="39"/>
      <c r="AKV27" s="39"/>
      <c r="AKW27" s="39"/>
      <c r="AKX27" s="39"/>
      <c r="AKY27" s="39"/>
      <c r="AKZ27" s="39"/>
      <c r="ALA27" s="39"/>
      <c r="ALB27" s="39"/>
      <c r="ALC27" s="39"/>
      <c r="ALD27" s="39"/>
      <c r="ALE27" s="39"/>
      <c r="ALF27" s="39"/>
      <c r="ALG27" s="39"/>
      <c r="ALH27" s="39"/>
      <c r="ALI27" s="39"/>
      <c r="ALJ27" s="39"/>
      <c r="ALK27" s="39"/>
      <c r="ALL27" s="39"/>
      <c r="ALM27" s="39"/>
      <c r="ALN27" s="39"/>
      <c r="ALO27" s="39"/>
      <c r="ALP27" s="39"/>
    </row>
    <row r="28" spans="1:1004" s="102" customFormat="1" ht="13.5">
      <c r="A28" s="903"/>
      <c r="B28" s="904"/>
      <c r="C28" s="930" t="s">
        <v>279</v>
      </c>
      <c r="D28" s="906"/>
      <c r="E28" s="931">
        <v>1</v>
      </c>
      <c r="F28" s="932">
        <v>10</v>
      </c>
      <c r="G28" s="908">
        <f>E28*F28</f>
        <v>10</v>
      </c>
      <c r="H28" s="933"/>
    </row>
    <row r="29" spans="1:1004" s="39" customFormat="1" ht="11.45" customHeight="1">
      <c r="A29" s="23"/>
      <c r="B29" s="24"/>
      <c r="C29" s="30"/>
      <c r="D29" s="25"/>
      <c r="E29" s="26"/>
      <c r="F29" s="27" t="s">
        <v>15</v>
      </c>
      <c r="G29" s="28">
        <f>SUM(G24:G28)</f>
        <v>108</v>
      </c>
      <c r="H29" s="29"/>
    </row>
    <row r="30" spans="1:1004" s="39" customFormat="1" ht="11.45" customHeight="1">
      <c r="A30" s="914"/>
      <c r="B30" s="915"/>
      <c r="C30" s="916"/>
      <c r="D30" s="917"/>
      <c r="E30" s="918"/>
      <c r="F30" s="919" t="s">
        <v>16</v>
      </c>
      <c r="G30" s="920">
        <v>1.2</v>
      </c>
      <c r="H30" s="921"/>
    </row>
    <row r="31" spans="1:1004" s="39" customFormat="1" ht="11.45" customHeight="1">
      <c r="A31" s="922"/>
      <c r="B31" s="923"/>
      <c r="C31" s="924"/>
      <c r="D31" s="925"/>
      <c r="E31" s="926"/>
      <c r="F31" s="927" t="s">
        <v>17</v>
      </c>
      <c r="G31" s="928">
        <f>G29*G30</f>
        <v>129.6</v>
      </c>
      <c r="H31" s="929"/>
    </row>
    <row r="32" spans="1:1004" s="39" customFormat="1" ht="13.5">
      <c r="A32" s="802" t="s">
        <v>280</v>
      </c>
      <c r="B32" s="149"/>
      <c r="C32" s="150"/>
      <c r="D32" s="151"/>
      <c r="E32" s="151"/>
      <c r="F32" s="152"/>
      <c r="G32" s="152"/>
      <c r="H32" s="803"/>
    </row>
    <row r="33" spans="1:1004" s="102" customFormat="1" ht="13.5">
      <c r="A33" s="903"/>
      <c r="B33" s="904"/>
      <c r="C33" s="930" t="s">
        <v>275</v>
      </c>
      <c r="D33" s="906"/>
      <c r="E33" s="931">
        <v>2</v>
      </c>
      <c r="F33" s="932">
        <v>10</v>
      </c>
      <c r="G33" s="908">
        <f>E33*F33</f>
        <v>20</v>
      </c>
      <c r="H33" s="933"/>
    </row>
    <row r="34" spans="1:1004" s="102" customFormat="1" ht="13.5">
      <c r="A34" s="903"/>
      <c r="B34" s="904"/>
      <c r="C34" s="930" t="s">
        <v>276</v>
      </c>
      <c r="D34" s="906"/>
      <c r="E34" s="931">
        <v>2</v>
      </c>
      <c r="F34" s="932">
        <v>24</v>
      </c>
      <c r="G34" s="908">
        <f>E34*F34</f>
        <v>48</v>
      </c>
      <c r="H34" s="933"/>
    </row>
    <row r="35" spans="1:1004" s="42" customFormat="1" ht="13.5">
      <c r="A35" s="903"/>
      <c r="B35" s="904"/>
      <c r="C35" s="930" t="s">
        <v>281</v>
      </c>
      <c r="D35" s="906"/>
      <c r="E35" s="931">
        <v>0</v>
      </c>
      <c r="F35" s="935">
        <v>50</v>
      </c>
      <c r="G35" s="908">
        <f>E35*F35</f>
        <v>0</v>
      </c>
      <c r="H35" s="933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9"/>
      <c r="MM35" s="39"/>
      <c r="MN35" s="39"/>
      <c r="MO35" s="39"/>
      <c r="MP35" s="39"/>
      <c r="MQ35" s="39"/>
      <c r="MR35" s="39"/>
      <c r="MS35" s="39"/>
      <c r="MT35" s="39"/>
      <c r="MU35" s="39"/>
      <c r="MV35" s="39"/>
      <c r="MW35" s="39"/>
      <c r="MX35" s="39"/>
      <c r="MY35" s="39"/>
      <c r="MZ35" s="39"/>
      <c r="NA35" s="39"/>
      <c r="NB35" s="39"/>
      <c r="NC35" s="39"/>
      <c r="ND35" s="39"/>
      <c r="NE35" s="39"/>
      <c r="NF35" s="39"/>
      <c r="NG35" s="39"/>
      <c r="NH35" s="39"/>
      <c r="NI35" s="39"/>
      <c r="NJ35" s="39"/>
      <c r="NK35" s="39"/>
      <c r="NL35" s="39"/>
      <c r="NM35" s="39"/>
      <c r="NN35" s="39"/>
      <c r="NO35" s="39"/>
      <c r="NP35" s="39"/>
      <c r="NQ35" s="39"/>
      <c r="NR35" s="39"/>
      <c r="NS35" s="39"/>
      <c r="NT35" s="39"/>
      <c r="NU35" s="39"/>
      <c r="NV35" s="39"/>
      <c r="NW35" s="39"/>
      <c r="NX35" s="39"/>
      <c r="NY35" s="39"/>
      <c r="NZ35" s="39"/>
      <c r="OA35" s="39"/>
      <c r="OB35" s="39"/>
      <c r="OC35" s="39"/>
      <c r="OD35" s="39"/>
      <c r="OE35" s="39"/>
      <c r="OF35" s="39"/>
      <c r="OG35" s="39"/>
      <c r="OH35" s="39"/>
      <c r="OI35" s="39"/>
      <c r="OJ35" s="39"/>
      <c r="OK35" s="39"/>
      <c r="OL35" s="39"/>
      <c r="OM35" s="39"/>
      <c r="ON35" s="39"/>
      <c r="OO35" s="39"/>
      <c r="OP35" s="39"/>
      <c r="OQ35" s="39"/>
      <c r="OR35" s="39"/>
      <c r="OS35" s="39"/>
      <c r="OT35" s="39"/>
      <c r="OU35" s="39"/>
      <c r="OV35" s="39"/>
      <c r="OW35" s="39"/>
      <c r="OX35" s="39"/>
      <c r="OY35" s="39"/>
      <c r="OZ35" s="39"/>
      <c r="PA35" s="39"/>
      <c r="PB35" s="39"/>
      <c r="PC35" s="39"/>
      <c r="PD35" s="39"/>
      <c r="PE35" s="39"/>
      <c r="PF35" s="39"/>
      <c r="PG35" s="39"/>
      <c r="PH35" s="39"/>
      <c r="PI35" s="39"/>
      <c r="PJ35" s="39"/>
      <c r="PK35" s="39"/>
      <c r="PL35" s="39"/>
      <c r="PM35" s="39"/>
      <c r="PN35" s="39"/>
      <c r="PO35" s="39"/>
      <c r="PP35" s="39"/>
      <c r="PQ35" s="39"/>
      <c r="PR35" s="39"/>
      <c r="PS35" s="39"/>
      <c r="PT35" s="39"/>
      <c r="PU35" s="39"/>
      <c r="PV35" s="39"/>
      <c r="PW35" s="39"/>
      <c r="PX35" s="39"/>
      <c r="PY35" s="39"/>
      <c r="PZ35" s="39"/>
      <c r="QA35" s="39"/>
      <c r="QB35" s="39"/>
      <c r="QC35" s="39"/>
      <c r="QD35" s="39"/>
      <c r="QE35" s="39"/>
      <c r="QF35" s="39"/>
      <c r="QG35" s="39"/>
      <c r="QH35" s="39"/>
      <c r="QI35" s="39"/>
      <c r="QJ35" s="39"/>
      <c r="QK35" s="39"/>
      <c r="QL35" s="39"/>
      <c r="QM35" s="39"/>
      <c r="QN35" s="39"/>
      <c r="QO35" s="39"/>
      <c r="QP35" s="39"/>
      <c r="QQ35" s="39"/>
      <c r="QR35" s="39"/>
      <c r="QS35" s="39"/>
      <c r="QT35" s="39"/>
      <c r="QU35" s="39"/>
      <c r="QV35" s="39"/>
      <c r="QW35" s="39"/>
      <c r="QX35" s="39"/>
      <c r="QY35" s="39"/>
      <c r="QZ35" s="39"/>
      <c r="RA35" s="39"/>
      <c r="RB35" s="39"/>
      <c r="RC35" s="39"/>
      <c r="RD35" s="39"/>
      <c r="RE35" s="39"/>
      <c r="RF35" s="39"/>
      <c r="RG35" s="39"/>
      <c r="RH35" s="39"/>
      <c r="RI35" s="39"/>
      <c r="RJ35" s="39"/>
      <c r="RK35" s="39"/>
      <c r="RL35" s="39"/>
      <c r="RM35" s="39"/>
      <c r="RN35" s="39"/>
      <c r="RO35" s="39"/>
      <c r="RP35" s="39"/>
      <c r="RQ35" s="39"/>
      <c r="RR35" s="39"/>
      <c r="RS35" s="39"/>
      <c r="RT35" s="39"/>
      <c r="RU35" s="39"/>
      <c r="RV35" s="39"/>
      <c r="RW35" s="39"/>
      <c r="RX35" s="39"/>
      <c r="RY35" s="39"/>
      <c r="RZ35" s="39"/>
      <c r="SA35" s="39"/>
      <c r="SB35" s="39"/>
      <c r="SC35" s="39"/>
      <c r="SD35" s="39"/>
      <c r="SE35" s="39"/>
      <c r="SF35" s="39"/>
      <c r="SG35" s="39"/>
      <c r="SH35" s="39"/>
      <c r="SI35" s="39"/>
      <c r="SJ35" s="39"/>
      <c r="SK35" s="39"/>
      <c r="SL35" s="39"/>
      <c r="SM35" s="39"/>
      <c r="SN35" s="39"/>
      <c r="SO35" s="39"/>
      <c r="SP35" s="39"/>
      <c r="SQ35" s="39"/>
      <c r="SR35" s="39"/>
      <c r="SS35" s="39"/>
      <c r="ST35" s="39"/>
      <c r="SU35" s="39"/>
      <c r="SV35" s="39"/>
      <c r="SW35" s="39"/>
      <c r="SX35" s="39"/>
      <c r="SY35" s="39"/>
      <c r="SZ35" s="39"/>
      <c r="TA35" s="39"/>
      <c r="TB35" s="39"/>
      <c r="TC35" s="39"/>
      <c r="TD35" s="39"/>
      <c r="TE35" s="39"/>
      <c r="TF35" s="39"/>
      <c r="TG35" s="39"/>
      <c r="TH35" s="39"/>
      <c r="TI35" s="39"/>
      <c r="TJ35" s="39"/>
      <c r="TK35" s="39"/>
      <c r="TL35" s="39"/>
      <c r="TM35" s="39"/>
      <c r="TN35" s="39"/>
      <c r="TO35" s="39"/>
      <c r="TP35" s="39"/>
      <c r="TQ35" s="39"/>
      <c r="TR35" s="39"/>
      <c r="TS35" s="39"/>
      <c r="TT35" s="39"/>
      <c r="TU35" s="39"/>
      <c r="TV35" s="39"/>
      <c r="TW35" s="39"/>
      <c r="TX35" s="39"/>
      <c r="TY35" s="39"/>
      <c r="TZ35" s="39"/>
      <c r="UA35" s="39"/>
      <c r="UB35" s="39"/>
      <c r="UC35" s="39"/>
      <c r="UD35" s="39"/>
      <c r="UE35" s="39"/>
      <c r="UF35" s="39"/>
      <c r="UG35" s="39"/>
      <c r="UH35" s="39"/>
      <c r="UI35" s="39"/>
      <c r="UJ35" s="39"/>
      <c r="UK35" s="39"/>
      <c r="UL35" s="39"/>
      <c r="UM35" s="39"/>
      <c r="UN35" s="39"/>
      <c r="UO35" s="39"/>
      <c r="UP35" s="39"/>
      <c r="UQ35" s="39"/>
      <c r="UR35" s="39"/>
      <c r="US35" s="39"/>
      <c r="UT35" s="39"/>
      <c r="UU35" s="39"/>
      <c r="UV35" s="39"/>
      <c r="UW35" s="39"/>
      <c r="UX35" s="39"/>
      <c r="UY35" s="39"/>
      <c r="UZ35" s="39"/>
      <c r="VA35" s="39"/>
      <c r="VB35" s="39"/>
      <c r="VC35" s="39"/>
      <c r="VD35" s="39"/>
      <c r="VE35" s="39"/>
      <c r="VF35" s="39"/>
      <c r="VG35" s="39"/>
      <c r="VH35" s="39"/>
      <c r="VI35" s="39"/>
      <c r="VJ35" s="39"/>
      <c r="VK35" s="39"/>
      <c r="VL35" s="39"/>
      <c r="VM35" s="39"/>
      <c r="VN35" s="39"/>
      <c r="VO35" s="39"/>
      <c r="VP35" s="39"/>
      <c r="VQ35" s="39"/>
      <c r="VR35" s="39"/>
      <c r="VS35" s="39"/>
      <c r="VT35" s="39"/>
      <c r="VU35" s="39"/>
      <c r="VV35" s="39"/>
      <c r="VW35" s="39"/>
      <c r="VX35" s="39"/>
      <c r="VY35" s="39"/>
      <c r="VZ35" s="39"/>
      <c r="WA35" s="39"/>
      <c r="WB35" s="39"/>
      <c r="WC35" s="39"/>
      <c r="WD35" s="39"/>
      <c r="WE35" s="39"/>
      <c r="WF35" s="39"/>
      <c r="WG35" s="39"/>
      <c r="WH35" s="39"/>
      <c r="WI35" s="39"/>
      <c r="WJ35" s="39"/>
      <c r="WK35" s="39"/>
      <c r="WL35" s="39"/>
      <c r="WM35" s="39"/>
      <c r="WN35" s="39"/>
      <c r="WO35" s="39"/>
      <c r="WP35" s="39"/>
      <c r="WQ35" s="39"/>
      <c r="WR35" s="39"/>
      <c r="WS35" s="39"/>
      <c r="WT35" s="39"/>
      <c r="WU35" s="39"/>
      <c r="WV35" s="39"/>
      <c r="WW35" s="39"/>
      <c r="WX35" s="39"/>
      <c r="WY35" s="39"/>
      <c r="WZ35" s="39"/>
      <c r="XA35" s="39"/>
      <c r="XB35" s="39"/>
      <c r="XC35" s="39"/>
      <c r="XD35" s="39"/>
      <c r="XE35" s="39"/>
      <c r="XF35" s="39"/>
      <c r="XG35" s="39"/>
      <c r="XH35" s="39"/>
      <c r="XI35" s="39"/>
      <c r="XJ35" s="39"/>
      <c r="XK35" s="39"/>
      <c r="XL35" s="39"/>
      <c r="XM35" s="39"/>
      <c r="XN35" s="39"/>
      <c r="XO35" s="39"/>
      <c r="XP35" s="39"/>
      <c r="XQ35" s="39"/>
      <c r="XR35" s="39"/>
      <c r="XS35" s="39"/>
      <c r="XT35" s="39"/>
      <c r="XU35" s="39"/>
      <c r="XV35" s="39"/>
      <c r="XW35" s="39"/>
      <c r="XX35" s="39"/>
      <c r="XY35" s="39"/>
      <c r="XZ35" s="39"/>
      <c r="YA35" s="39"/>
      <c r="YB35" s="39"/>
      <c r="YC35" s="39"/>
      <c r="YD35" s="39"/>
      <c r="YE35" s="39"/>
      <c r="YF35" s="39"/>
      <c r="YG35" s="39"/>
      <c r="YH35" s="39"/>
      <c r="YI35" s="39"/>
      <c r="YJ35" s="39"/>
      <c r="YK35" s="39"/>
      <c r="YL35" s="39"/>
      <c r="YM35" s="39"/>
      <c r="YN35" s="39"/>
      <c r="YO35" s="39"/>
      <c r="YP35" s="39"/>
      <c r="YQ35" s="39"/>
      <c r="YR35" s="39"/>
      <c r="YS35" s="39"/>
      <c r="YT35" s="39"/>
      <c r="YU35" s="39"/>
      <c r="YV35" s="39"/>
      <c r="YW35" s="39"/>
      <c r="YX35" s="39"/>
      <c r="YY35" s="39"/>
      <c r="YZ35" s="39"/>
      <c r="ZA35" s="39"/>
      <c r="ZB35" s="39"/>
      <c r="ZC35" s="39"/>
      <c r="ZD35" s="39"/>
      <c r="ZE35" s="39"/>
      <c r="ZF35" s="39"/>
      <c r="ZG35" s="39"/>
      <c r="ZH35" s="39"/>
      <c r="ZI35" s="39"/>
      <c r="ZJ35" s="39"/>
      <c r="ZK35" s="39"/>
      <c r="ZL35" s="39"/>
      <c r="ZM35" s="39"/>
      <c r="ZN35" s="39"/>
      <c r="ZO35" s="39"/>
      <c r="ZP35" s="39"/>
      <c r="ZQ35" s="39"/>
      <c r="ZR35" s="39"/>
      <c r="ZS35" s="39"/>
      <c r="ZT35" s="39"/>
      <c r="ZU35" s="39"/>
      <c r="ZV35" s="39"/>
      <c r="ZW35" s="39"/>
      <c r="ZX35" s="39"/>
      <c r="ZY35" s="39"/>
      <c r="ZZ35" s="39"/>
      <c r="AAA35" s="39"/>
      <c r="AAB35" s="39"/>
      <c r="AAC35" s="39"/>
      <c r="AAD35" s="39"/>
      <c r="AAE35" s="39"/>
      <c r="AAF35" s="39"/>
      <c r="AAG35" s="39"/>
      <c r="AAH35" s="39"/>
      <c r="AAI35" s="39"/>
      <c r="AAJ35" s="39"/>
      <c r="AAK35" s="39"/>
      <c r="AAL35" s="39"/>
      <c r="AAM35" s="39"/>
      <c r="AAN35" s="39"/>
      <c r="AAO35" s="39"/>
      <c r="AAP35" s="39"/>
      <c r="AAQ35" s="39"/>
      <c r="AAR35" s="39"/>
      <c r="AAS35" s="39"/>
      <c r="AAT35" s="39"/>
      <c r="AAU35" s="39"/>
      <c r="AAV35" s="39"/>
      <c r="AAW35" s="39"/>
      <c r="AAX35" s="39"/>
      <c r="AAY35" s="39"/>
      <c r="AAZ35" s="39"/>
      <c r="ABA35" s="39"/>
      <c r="ABB35" s="39"/>
      <c r="ABC35" s="39"/>
      <c r="ABD35" s="39"/>
      <c r="ABE35" s="39"/>
      <c r="ABF35" s="39"/>
      <c r="ABG35" s="39"/>
      <c r="ABH35" s="39"/>
      <c r="ABI35" s="39"/>
      <c r="ABJ35" s="39"/>
      <c r="ABK35" s="39"/>
      <c r="ABL35" s="39"/>
      <c r="ABM35" s="39"/>
      <c r="ABN35" s="39"/>
      <c r="ABO35" s="39"/>
      <c r="ABP35" s="39"/>
      <c r="ABQ35" s="39"/>
      <c r="ABR35" s="39"/>
      <c r="ABS35" s="39"/>
      <c r="ABT35" s="39"/>
      <c r="ABU35" s="39"/>
      <c r="ABV35" s="39"/>
      <c r="ABW35" s="39"/>
      <c r="ABX35" s="39"/>
      <c r="ABY35" s="39"/>
      <c r="ABZ35" s="39"/>
      <c r="ACA35" s="39"/>
      <c r="ACB35" s="39"/>
      <c r="ACC35" s="39"/>
      <c r="ACD35" s="39"/>
      <c r="ACE35" s="39"/>
      <c r="ACF35" s="39"/>
      <c r="ACG35" s="39"/>
      <c r="ACH35" s="39"/>
      <c r="ACI35" s="39"/>
      <c r="ACJ35" s="39"/>
      <c r="ACK35" s="39"/>
      <c r="ACL35" s="39"/>
      <c r="ACM35" s="39"/>
      <c r="ACN35" s="39"/>
      <c r="ACO35" s="39"/>
      <c r="ACP35" s="39"/>
      <c r="ACQ35" s="39"/>
      <c r="ACR35" s="39"/>
      <c r="ACS35" s="39"/>
      <c r="ACT35" s="39"/>
      <c r="ACU35" s="39"/>
      <c r="ACV35" s="39"/>
      <c r="ACW35" s="39"/>
      <c r="ACX35" s="39"/>
      <c r="ACY35" s="39"/>
      <c r="ACZ35" s="39"/>
      <c r="ADA35" s="39"/>
      <c r="ADB35" s="39"/>
      <c r="ADC35" s="39"/>
      <c r="ADD35" s="39"/>
      <c r="ADE35" s="39"/>
      <c r="ADF35" s="39"/>
      <c r="ADG35" s="39"/>
      <c r="ADH35" s="39"/>
      <c r="ADI35" s="39"/>
      <c r="ADJ35" s="39"/>
      <c r="ADK35" s="39"/>
      <c r="ADL35" s="39"/>
      <c r="ADM35" s="39"/>
      <c r="ADN35" s="39"/>
      <c r="ADO35" s="39"/>
      <c r="ADP35" s="39"/>
      <c r="ADQ35" s="39"/>
      <c r="ADR35" s="39"/>
      <c r="ADS35" s="39"/>
      <c r="ADT35" s="39"/>
      <c r="ADU35" s="39"/>
      <c r="ADV35" s="39"/>
      <c r="ADW35" s="39"/>
      <c r="ADX35" s="39"/>
      <c r="ADY35" s="39"/>
      <c r="ADZ35" s="39"/>
      <c r="AEA35" s="39"/>
      <c r="AEB35" s="39"/>
      <c r="AEC35" s="39"/>
      <c r="AED35" s="39"/>
      <c r="AEE35" s="39"/>
      <c r="AEF35" s="39"/>
      <c r="AEG35" s="39"/>
      <c r="AEH35" s="39"/>
      <c r="AEI35" s="39"/>
      <c r="AEJ35" s="39"/>
      <c r="AEK35" s="39"/>
      <c r="AEL35" s="39"/>
      <c r="AEM35" s="39"/>
      <c r="AEN35" s="39"/>
      <c r="AEO35" s="39"/>
      <c r="AEP35" s="39"/>
      <c r="AEQ35" s="39"/>
      <c r="AER35" s="39"/>
      <c r="AES35" s="39"/>
      <c r="AET35" s="39"/>
      <c r="AEU35" s="39"/>
      <c r="AEV35" s="39"/>
      <c r="AEW35" s="39"/>
      <c r="AEX35" s="39"/>
      <c r="AEY35" s="39"/>
      <c r="AEZ35" s="39"/>
      <c r="AFA35" s="39"/>
      <c r="AFB35" s="39"/>
      <c r="AFC35" s="39"/>
      <c r="AFD35" s="39"/>
      <c r="AFE35" s="39"/>
      <c r="AFF35" s="39"/>
      <c r="AFG35" s="39"/>
      <c r="AFH35" s="39"/>
      <c r="AFI35" s="39"/>
      <c r="AFJ35" s="39"/>
      <c r="AFK35" s="39"/>
      <c r="AFL35" s="39"/>
      <c r="AFM35" s="39"/>
      <c r="AFN35" s="39"/>
      <c r="AFO35" s="39"/>
      <c r="AFP35" s="39"/>
      <c r="AFQ35" s="39"/>
      <c r="AFR35" s="39"/>
      <c r="AFS35" s="39"/>
      <c r="AFT35" s="39"/>
      <c r="AFU35" s="39"/>
      <c r="AFV35" s="39"/>
      <c r="AFW35" s="39"/>
      <c r="AFX35" s="39"/>
      <c r="AFY35" s="39"/>
      <c r="AFZ35" s="39"/>
      <c r="AGA35" s="39"/>
      <c r="AGB35" s="39"/>
      <c r="AGC35" s="39"/>
      <c r="AGD35" s="39"/>
      <c r="AGE35" s="39"/>
      <c r="AGF35" s="39"/>
      <c r="AGG35" s="39"/>
      <c r="AGH35" s="39"/>
      <c r="AGI35" s="39"/>
      <c r="AGJ35" s="39"/>
      <c r="AGK35" s="39"/>
      <c r="AGL35" s="39"/>
      <c r="AGM35" s="39"/>
      <c r="AGN35" s="39"/>
      <c r="AGO35" s="39"/>
      <c r="AGP35" s="39"/>
      <c r="AGQ35" s="39"/>
      <c r="AGR35" s="39"/>
      <c r="AGS35" s="39"/>
      <c r="AGT35" s="39"/>
      <c r="AGU35" s="39"/>
      <c r="AGV35" s="39"/>
      <c r="AGW35" s="39"/>
      <c r="AGX35" s="39"/>
      <c r="AGY35" s="39"/>
      <c r="AGZ35" s="39"/>
      <c r="AHA35" s="39"/>
      <c r="AHB35" s="39"/>
      <c r="AHC35" s="39"/>
      <c r="AHD35" s="39"/>
      <c r="AHE35" s="39"/>
      <c r="AHF35" s="39"/>
      <c r="AHG35" s="39"/>
      <c r="AHH35" s="39"/>
      <c r="AHI35" s="39"/>
      <c r="AHJ35" s="39"/>
      <c r="AHK35" s="39"/>
      <c r="AHL35" s="39"/>
      <c r="AHM35" s="39"/>
      <c r="AHN35" s="39"/>
      <c r="AHO35" s="39"/>
      <c r="AHP35" s="39"/>
      <c r="AHQ35" s="39"/>
      <c r="AHR35" s="39"/>
      <c r="AHS35" s="39"/>
      <c r="AHT35" s="39"/>
      <c r="AHU35" s="39"/>
      <c r="AHV35" s="39"/>
      <c r="AHW35" s="39"/>
      <c r="AHX35" s="39"/>
      <c r="AHY35" s="39"/>
      <c r="AHZ35" s="39"/>
      <c r="AIA35" s="39"/>
      <c r="AIB35" s="39"/>
      <c r="AIC35" s="39"/>
      <c r="AID35" s="39"/>
      <c r="AIE35" s="39"/>
      <c r="AIF35" s="39"/>
      <c r="AIG35" s="39"/>
      <c r="AIH35" s="39"/>
      <c r="AII35" s="39"/>
      <c r="AIJ35" s="39"/>
      <c r="AIK35" s="39"/>
      <c r="AIL35" s="39"/>
      <c r="AIM35" s="39"/>
      <c r="AIN35" s="39"/>
      <c r="AIO35" s="39"/>
      <c r="AIP35" s="39"/>
      <c r="AIQ35" s="39"/>
      <c r="AIR35" s="39"/>
      <c r="AIS35" s="39"/>
      <c r="AIT35" s="39"/>
      <c r="AIU35" s="39"/>
      <c r="AIV35" s="39"/>
      <c r="AIW35" s="39"/>
      <c r="AIX35" s="39"/>
      <c r="AIY35" s="39"/>
      <c r="AIZ35" s="39"/>
      <c r="AJA35" s="39"/>
      <c r="AJB35" s="39"/>
      <c r="AJC35" s="39"/>
      <c r="AJD35" s="39"/>
      <c r="AJE35" s="39"/>
      <c r="AJF35" s="39"/>
      <c r="AJG35" s="39"/>
      <c r="AJH35" s="39"/>
      <c r="AJI35" s="39"/>
      <c r="AJJ35" s="39"/>
      <c r="AJK35" s="39"/>
      <c r="AJL35" s="39"/>
      <c r="AJM35" s="39"/>
      <c r="AJN35" s="39"/>
      <c r="AJO35" s="39"/>
      <c r="AJP35" s="39"/>
      <c r="AJQ35" s="39"/>
      <c r="AJR35" s="39"/>
      <c r="AJS35" s="39"/>
      <c r="AJT35" s="39"/>
      <c r="AJU35" s="39"/>
      <c r="AJV35" s="39"/>
      <c r="AJW35" s="39"/>
      <c r="AJX35" s="39"/>
      <c r="AJY35" s="39"/>
      <c r="AJZ35" s="39"/>
      <c r="AKA35" s="39"/>
      <c r="AKB35" s="39"/>
      <c r="AKC35" s="39"/>
      <c r="AKD35" s="39"/>
      <c r="AKE35" s="39"/>
      <c r="AKF35" s="39"/>
      <c r="AKG35" s="39"/>
      <c r="AKH35" s="39"/>
      <c r="AKI35" s="39"/>
      <c r="AKJ35" s="39"/>
      <c r="AKK35" s="39"/>
      <c r="AKL35" s="39"/>
      <c r="AKM35" s="39"/>
      <c r="AKN35" s="39"/>
      <c r="AKO35" s="39"/>
      <c r="AKP35" s="39"/>
      <c r="AKQ35" s="39"/>
      <c r="AKR35" s="39"/>
      <c r="AKS35" s="39"/>
      <c r="AKT35" s="39"/>
      <c r="AKU35" s="39"/>
      <c r="AKV35" s="39"/>
      <c r="AKW35" s="39"/>
      <c r="AKX35" s="39"/>
      <c r="AKY35" s="39"/>
      <c r="AKZ35" s="39"/>
      <c r="ALA35" s="39"/>
      <c r="ALB35" s="39"/>
      <c r="ALC35" s="39"/>
      <c r="ALD35" s="39"/>
      <c r="ALE35" s="39"/>
      <c r="ALF35" s="39"/>
      <c r="ALG35" s="39"/>
      <c r="ALH35" s="39"/>
      <c r="ALI35" s="39"/>
      <c r="ALJ35" s="39"/>
      <c r="ALK35" s="39"/>
      <c r="ALL35" s="39"/>
      <c r="ALM35" s="39"/>
      <c r="ALN35" s="39"/>
      <c r="ALO35" s="39"/>
      <c r="ALP35" s="39"/>
    </row>
    <row r="36" spans="1:1004" s="102" customFormat="1" ht="13.5">
      <c r="A36" s="903"/>
      <c r="B36" s="904"/>
      <c r="C36" s="930" t="s">
        <v>282</v>
      </c>
      <c r="D36" s="906"/>
      <c r="E36" s="931">
        <v>2</v>
      </c>
      <c r="F36" s="936">
        <v>5</v>
      </c>
      <c r="G36" s="908">
        <f>E36*F36</f>
        <v>10</v>
      </c>
      <c r="H36" s="933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9"/>
      <c r="MM36" s="39"/>
      <c r="MN36" s="39"/>
      <c r="MO36" s="39"/>
      <c r="MP36" s="39"/>
      <c r="MQ36" s="39"/>
      <c r="MR36" s="39"/>
      <c r="MS36" s="39"/>
      <c r="MT36" s="39"/>
      <c r="MU36" s="39"/>
      <c r="MV36" s="39"/>
      <c r="MW36" s="39"/>
      <c r="MX36" s="39"/>
      <c r="MY36" s="39"/>
      <c r="MZ36" s="39"/>
      <c r="NA36" s="39"/>
      <c r="NB36" s="39"/>
      <c r="NC36" s="39"/>
      <c r="ND36" s="39"/>
      <c r="NE36" s="39"/>
      <c r="NF36" s="39"/>
      <c r="NG36" s="39"/>
      <c r="NH36" s="39"/>
      <c r="NI36" s="39"/>
      <c r="NJ36" s="39"/>
      <c r="NK36" s="39"/>
      <c r="NL36" s="39"/>
      <c r="NM36" s="39"/>
      <c r="NN36" s="39"/>
      <c r="NO36" s="39"/>
      <c r="NP36" s="39"/>
      <c r="NQ36" s="39"/>
      <c r="NR36" s="39"/>
      <c r="NS36" s="39"/>
      <c r="NT36" s="39"/>
      <c r="NU36" s="39"/>
      <c r="NV36" s="39"/>
      <c r="NW36" s="39"/>
      <c r="NX36" s="39"/>
      <c r="NY36" s="39"/>
      <c r="NZ36" s="39"/>
      <c r="OA36" s="39"/>
      <c r="OB36" s="39"/>
      <c r="OC36" s="39"/>
      <c r="OD36" s="39"/>
      <c r="OE36" s="39"/>
      <c r="OF36" s="39"/>
      <c r="OG36" s="39"/>
      <c r="OH36" s="39"/>
      <c r="OI36" s="39"/>
      <c r="OJ36" s="39"/>
      <c r="OK36" s="39"/>
      <c r="OL36" s="39"/>
      <c r="OM36" s="39"/>
      <c r="ON36" s="39"/>
      <c r="OO36" s="39"/>
      <c r="OP36" s="39"/>
      <c r="OQ36" s="39"/>
      <c r="OR36" s="39"/>
      <c r="OS36" s="39"/>
      <c r="OT36" s="39"/>
      <c r="OU36" s="39"/>
      <c r="OV36" s="39"/>
      <c r="OW36" s="39"/>
      <c r="OX36" s="39"/>
      <c r="OY36" s="39"/>
      <c r="OZ36" s="39"/>
      <c r="PA36" s="39"/>
      <c r="PB36" s="39"/>
      <c r="PC36" s="39"/>
      <c r="PD36" s="39"/>
      <c r="PE36" s="39"/>
      <c r="PF36" s="39"/>
      <c r="PG36" s="39"/>
      <c r="PH36" s="39"/>
      <c r="PI36" s="39"/>
      <c r="PJ36" s="39"/>
      <c r="PK36" s="39"/>
      <c r="PL36" s="39"/>
      <c r="PM36" s="39"/>
      <c r="PN36" s="39"/>
      <c r="PO36" s="39"/>
      <c r="PP36" s="39"/>
      <c r="PQ36" s="39"/>
      <c r="PR36" s="39"/>
      <c r="PS36" s="39"/>
      <c r="PT36" s="39"/>
      <c r="PU36" s="39"/>
      <c r="PV36" s="39"/>
      <c r="PW36" s="39"/>
      <c r="PX36" s="39"/>
      <c r="PY36" s="39"/>
      <c r="PZ36" s="39"/>
      <c r="QA36" s="39"/>
      <c r="QB36" s="39"/>
      <c r="QC36" s="39"/>
      <c r="QD36" s="39"/>
      <c r="QE36" s="39"/>
      <c r="QF36" s="39"/>
      <c r="QG36" s="39"/>
      <c r="QH36" s="39"/>
      <c r="QI36" s="39"/>
      <c r="QJ36" s="39"/>
      <c r="QK36" s="39"/>
      <c r="QL36" s="39"/>
      <c r="QM36" s="39"/>
      <c r="QN36" s="39"/>
      <c r="QO36" s="39"/>
      <c r="QP36" s="39"/>
      <c r="QQ36" s="39"/>
      <c r="QR36" s="39"/>
      <c r="QS36" s="39"/>
      <c r="QT36" s="39"/>
      <c r="QU36" s="39"/>
      <c r="QV36" s="39"/>
      <c r="QW36" s="39"/>
      <c r="QX36" s="39"/>
      <c r="QY36" s="39"/>
      <c r="QZ36" s="39"/>
      <c r="RA36" s="39"/>
      <c r="RB36" s="39"/>
      <c r="RC36" s="39"/>
      <c r="RD36" s="39"/>
      <c r="RE36" s="39"/>
      <c r="RF36" s="39"/>
      <c r="RG36" s="39"/>
      <c r="RH36" s="39"/>
      <c r="RI36" s="39"/>
      <c r="RJ36" s="39"/>
      <c r="RK36" s="39"/>
      <c r="RL36" s="39"/>
      <c r="RM36" s="39"/>
      <c r="RN36" s="39"/>
      <c r="RO36" s="39"/>
      <c r="RP36" s="39"/>
      <c r="RQ36" s="39"/>
      <c r="RR36" s="39"/>
      <c r="RS36" s="39"/>
      <c r="RT36" s="39"/>
      <c r="RU36" s="39"/>
      <c r="RV36" s="39"/>
      <c r="RW36" s="39"/>
      <c r="RX36" s="39"/>
      <c r="RY36" s="39"/>
      <c r="RZ36" s="39"/>
      <c r="SA36" s="39"/>
      <c r="SB36" s="39"/>
      <c r="SC36" s="39"/>
      <c r="SD36" s="39"/>
      <c r="SE36" s="39"/>
      <c r="SF36" s="39"/>
      <c r="SG36" s="39"/>
      <c r="SH36" s="39"/>
      <c r="SI36" s="39"/>
      <c r="SJ36" s="39"/>
      <c r="SK36" s="39"/>
      <c r="SL36" s="39"/>
      <c r="SM36" s="39"/>
      <c r="SN36" s="39"/>
      <c r="SO36" s="39"/>
      <c r="SP36" s="39"/>
      <c r="SQ36" s="39"/>
      <c r="SR36" s="39"/>
      <c r="SS36" s="39"/>
      <c r="ST36" s="39"/>
      <c r="SU36" s="39"/>
      <c r="SV36" s="39"/>
      <c r="SW36" s="39"/>
      <c r="SX36" s="39"/>
      <c r="SY36" s="39"/>
      <c r="SZ36" s="39"/>
      <c r="TA36" s="39"/>
      <c r="TB36" s="39"/>
      <c r="TC36" s="39"/>
      <c r="TD36" s="39"/>
      <c r="TE36" s="39"/>
      <c r="TF36" s="39"/>
      <c r="TG36" s="39"/>
      <c r="TH36" s="39"/>
      <c r="TI36" s="39"/>
      <c r="TJ36" s="39"/>
      <c r="TK36" s="39"/>
      <c r="TL36" s="39"/>
      <c r="TM36" s="39"/>
      <c r="TN36" s="39"/>
      <c r="TO36" s="39"/>
      <c r="TP36" s="39"/>
      <c r="TQ36" s="39"/>
      <c r="TR36" s="39"/>
      <c r="TS36" s="39"/>
      <c r="TT36" s="39"/>
      <c r="TU36" s="39"/>
      <c r="TV36" s="39"/>
      <c r="TW36" s="39"/>
      <c r="TX36" s="39"/>
      <c r="TY36" s="39"/>
      <c r="TZ36" s="39"/>
      <c r="UA36" s="39"/>
      <c r="UB36" s="39"/>
      <c r="UC36" s="39"/>
      <c r="UD36" s="39"/>
      <c r="UE36" s="39"/>
      <c r="UF36" s="39"/>
      <c r="UG36" s="39"/>
      <c r="UH36" s="39"/>
      <c r="UI36" s="39"/>
      <c r="UJ36" s="39"/>
      <c r="UK36" s="39"/>
      <c r="UL36" s="39"/>
      <c r="UM36" s="39"/>
      <c r="UN36" s="39"/>
      <c r="UO36" s="39"/>
      <c r="UP36" s="39"/>
      <c r="UQ36" s="39"/>
      <c r="UR36" s="39"/>
      <c r="US36" s="39"/>
      <c r="UT36" s="39"/>
      <c r="UU36" s="39"/>
      <c r="UV36" s="39"/>
      <c r="UW36" s="39"/>
      <c r="UX36" s="39"/>
      <c r="UY36" s="39"/>
      <c r="UZ36" s="39"/>
      <c r="VA36" s="39"/>
      <c r="VB36" s="39"/>
      <c r="VC36" s="39"/>
      <c r="VD36" s="39"/>
      <c r="VE36" s="39"/>
      <c r="VF36" s="39"/>
      <c r="VG36" s="39"/>
      <c r="VH36" s="39"/>
      <c r="VI36" s="39"/>
      <c r="VJ36" s="39"/>
      <c r="VK36" s="39"/>
      <c r="VL36" s="39"/>
      <c r="VM36" s="39"/>
      <c r="VN36" s="39"/>
      <c r="VO36" s="39"/>
      <c r="VP36" s="39"/>
      <c r="VQ36" s="39"/>
      <c r="VR36" s="39"/>
      <c r="VS36" s="39"/>
      <c r="VT36" s="39"/>
      <c r="VU36" s="39"/>
      <c r="VV36" s="39"/>
      <c r="VW36" s="39"/>
      <c r="VX36" s="39"/>
      <c r="VY36" s="39"/>
      <c r="VZ36" s="39"/>
      <c r="WA36" s="39"/>
      <c r="WB36" s="39"/>
      <c r="WC36" s="39"/>
      <c r="WD36" s="39"/>
      <c r="WE36" s="39"/>
      <c r="WF36" s="39"/>
      <c r="WG36" s="39"/>
      <c r="WH36" s="39"/>
      <c r="WI36" s="39"/>
      <c r="WJ36" s="39"/>
      <c r="WK36" s="39"/>
      <c r="WL36" s="39"/>
      <c r="WM36" s="39"/>
      <c r="WN36" s="39"/>
      <c r="WO36" s="39"/>
      <c r="WP36" s="39"/>
      <c r="WQ36" s="39"/>
      <c r="WR36" s="39"/>
      <c r="WS36" s="39"/>
      <c r="WT36" s="39"/>
      <c r="WU36" s="39"/>
      <c r="WV36" s="39"/>
      <c r="WW36" s="39"/>
      <c r="WX36" s="39"/>
      <c r="WY36" s="39"/>
      <c r="WZ36" s="39"/>
      <c r="XA36" s="39"/>
      <c r="XB36" s="39"/>
      <c r="XC36" s="39"/>
      <c r="XD36" s="39"/>
      <c r="XE36" s="39"/>
      <c r="XF36" s="39"/>
      <c r="XG36" s="39"/>
      <c r="XH36" s="39"/>
      <c r="XI36" s="39"/>
      <c r="XJ36" s="39"/>
      <c r="XK36" s="39"/>
      <c r="XL36" s="39"/>
      <c r="XM36" s="39"/>
      <c r="XN36" s="39"/>
      <c r="XO36" s="39"/>
      <c r="XP36" s="39"/>
      <c r="XQ36" s="39"/>
      <c r="XR36" s="39"/>
      <c r="XS36" s="39"/>
      <c r="XT36" s="39"/>
      <c r="XU36" s="39"/>
      <c r="XV36" s="39"/>
      <c r="XW36" s="39"/>
      <c r="XX36" s="39"/>
      <c r="XY36" s="39"/>
      <c r="XZ36" s="39"/>
      <c r="YA36" s="39"/>
      <c r="YB36" s="39"/>
      <c r="YC36" s="39"/>
      <c r="YD36" s="39"/>
      <c r="YE36" s="39"/>
      <c r="YF36" s="39"/>
      <c r="YG36" s="39"/>
      <c r="YH36" s="39"/>
      <c r="YI36" s="39"/>
      <c r="YJ36" s="39"/>
      <c r="YK36" s="39"/>
      <c r="YL36" s="39"/>
      <c r="YM36" s="39"/>
      <c r="YN36" s="39"/>
      <c r="YO36" s="39"/>
      <c r="YP36" s="39"/>
      <c r="YQ36" s="39"/>
      <c r="YR36" s="39"/>
      <c r="YS36" s="39"/>
      <c r="YT36" s="39"/>
      <c r="YU36" s="39"/>
      <c r="YV36" s="39"/>
      <c r="YW36" s="39"/>
      <c r="YX36" s="39"/>
      <c r="YY36" s="39"/>
      <c r="YZ36" s="39"/>
      <c r="ZA36" s="39"/>
      <c r="ZB36" s="39"/>
      <c r="ZC36" s="39"/>
      <c r="ZD36" s="39"/>
      <c r="ZE36" s="39"/>
      <c r="ZF36" s="39"/>
      <c r="ZG36" s="39"/>
      <c r="ZH36" s="39"/>
      <c r="ZI36" s="39"/>
      <c r="ZJ36" s="39"/>
      <c r="ZK36" s="39"/>
      <c r="ZL36" s="39"/>
      <c r="ZM36" s="39"/>
      <c r="ZN36" s="39"/>
      <c r="ZO36" s="39"/>
      <c r="ZP36" s="39"/>
      <c r="ZQ36" s="39"/>
      <c r="ZR36" s="39"/>
      <c r="ZS36" s="39"/>
      <c r="ZT36" s="39"/>
      <c r="ZU36" s="39"/>
      <c r="ZV36" s="39"/>
      <c r="ZW36" s="39"/>
      <c r="ZX36" s="39"/>
      <c r="ZY36" s="39"/>
      <c r="ZZ36" s="39"/>
      <c r="AAA36" s="39"/>
      <c r="AAB36" s="39"/>
      <c r="AAC36" s="39"/>
      <c r="AAD36" s="39"/>
      <c r="AAE36" s="39"/>
      <c r="AAF36" s="39"/>
      <c r="AAG36" s="39"/>
      <c r="AAH36" s="39"/>
      <c r="AAI36" s="39"/>
      <c r="AAJ36" s="39"/>
      <c r="AAK36" s="39"/>
      <c r="AAL36" s="39"/>
      <c r="AAM36" s="39"/>
      <c r="AAN36" s="39"/>
      <c r="AAO36" s="39"/>
      <c r="AAP36" s="39"/>
      <c r="AAQ36" s="39"/>
      <c r="AAR36" s="39"/>
      <c r="AAS36" s="39"/>
      <c r="AAT36" s="39"/>
      <c r="AAU36" s="39"/>
      <c r="AAV36" s="39"/>
      <c r="AAW36" s="39"/>
      <c r="AAX36" s="39"/>
      <c r="AAY36" s="39"/>
      <c r="AAZ36" s="39"/>
      <c r="ABA36" s="39"/>
      <c r="ABB36" s="39"/>
      <c r="ABC36" s="39"/>
      <c r="ABD36" s="39"/>
      <c r="ABE36" s="39"/>
      <c r="ABF36" s="39"/>
      <c r="ABG36" s="39"/>
      <c r="ABH36" s="39"/>
      <c r="ABI36" s="39"/>
      <c r="ABJ36" s="39"/>
      <c r="ABK36" s="39"/>
      <c r="ABL36" s="39"/>
      <c r="ABM36" s="39"/>
      <c r="ABN36" s="39"/>
      <c r="ABO36" s="39"/>
      <c r="ABP36" s="39"/>
      <c r="ABQ36" s="39"/>
      <c r="ABR36" s="39"/>
      <c r="ABS36" s="39"/>
      <c r="ABT36" s="39"/>
      <c r="ABU36" s="39"/>
      <c r="ABV36" s="39"/>
      <c r="ABW36" s="39"/>
      <c r="ABX36" s="39"/>
      <c r="ABY36" s="39"/>
      <c r="ABZ36" s="39"/>
      <c r="ACA36" s="39"/>
      <c r="ACB36" s="39"/>
      <c r="ACC36" s="39"/>
      <c r="ACD36" s="39"/>
      <c r="ACE36" s="39"/>
      <c r="ACF36" s="39"/>
      <c r="ACG36" s="39"/>
      <c r="ACH36" s="39"/>
      <c r="ACI36" s="39"/>
      <c r="ACJ36" s="39"/>
      <c r="ACK36" s="39"/>
      <c r="ACL36" s="39"/>
      <c r="ACM36" s="39"/>
      <c r="ACN36" s="39"/>
      <c r="ACO36" s="39"/>
      <c r="ACP36" s="39"/>
      <c r="ACQ36" s="39"/>
      <c r="ACR36" s="39"/>
      <c r="ACS36" s="39"/>
      <c r="ACT36" s="39"/>
      <c r="ACU36" s="39"/>
      <c r="ACV36" s="39"/>
      <c r="ACW36" s="39"/>
      <c r="ACX36" s="39"/>
      <c r="ACY36" s="39"/>
      <c r="ACZ36" s="39"/>
      <c r="ADA36" s="39"/>
      <c r="ADB36" s="39"/>
      <c r="ADC36" s="39"/>
      <c r="ADD36" s="39"/>
      <c r="ADE36" s="39"/>
      <c r="ADF36" s="39"/>
      <c r="ADG36" s="39"/>
      <c r="ADH36" s="39"/>
      <c r="ADI36" s="39"/>
      <c r="ADJ36" s="39"/>
      <c r="ADK36" s="39"/>
      <c r="ADL36" s="39"/>
      <c r="ADM36" s="39"/>
      <c r="ADN36" s="39"/>
      <c r="ADO36" s="39"/>
      <c r="ADP36" s="39"/>
      <c r="ADQ36" s="39"/>
      <c r="ADR36" s="39"/>
      <c r="ADS36" s="39"/>
      <c r="ADT36" s="39"/>
      <c r="ADU36" s="39"/>
      <c r="ADV36" s="39"/>
      <c r="ADW36" s="39"/>
      <c r="ADX36" s="39"/>
      <c r="ADY36" s="39"/>
      <c r="ADZ36" s="39"/>
      <c r="AEA36" s="39"/>
      <c r="AEB36" s="39"/>
      <c r="AEC36" s="39"/>
      <c r="AED36" s="39"/>
      <c r="AEE36" s="39"/>
      <c r="AEF36" s="39"/>
      <c r="AEG36" s="39"/>
      <c r="AEH36" s="39"/>
      <c r="AEI36" s="39"/>
      <c r="AEJ36" s="39"/>
      <c r="AEK36" s="39"/>
      <c r="AEL36" s="39"/>
      <c r="AEM36" s="39"/>
      <c r="AEN36" s="39"/>
      <c r="AEO36" s="39"/>
      <c r="AEP36" s="39"/>
      <c r="AEQ36" s="39"/>
      <c r="AER36" s="39"/>
      <c r="AES36" s="39"/>
      <c r="AET36" s="39"/>
      <c r="AEU36" s="39"/>
      <c r="AEV36" s="39"/>
      <c r="AEW36" s="39"/>
      <c r="AEX36" s="39"/>
      <c r="AEY36" s="39"/>
      <c r="AEZ36" s="39"/>
      <c r="AFA36" s="39"/>
      <c r="AFB36" s="39"/>
      <c r="AFC36" s="39"/>
      <c r="AFD36" s="39"/>
      <c r="AFE36" s="39"/>
      <c r="AFF36" s="39"/>
      <c r="AFG36" s="39"/>
      <c r="AFH36" s="39"/>
      <c r="AFI36" s="39"/>
      <c r="AFJ36" s="39"/>
      <c r="AFK36" s="39"/>
      <c r="AFL36" s="39"/>
      <c r="AFM36" s="39"/>
      <c r="AFN36" s="39"/>
      <c r="AFO36" s="39"/>
      <c r="AFP36" s="39"/>
      <c r="AFQ36" s="39"/>
      <c r="AFR36" s="39"/>
      <c r="AFS36" s="39"/>
      <c r="AFT36" s="39"/>
      <c r="AFU36" s="39"/>
      <c r="AFV36" s="39"/>
      <c r="AFW36" s="39"/>
      <c r="AFX36" s="39"/>
      <c r="AFY36" s="39"/>
      <c r="AFZ36" s="39"/>
      <c r="AGA36" s="39"/>
      <c r="AGB36" s="39"/>
      <c r="AGC36" s="39"/>
      <c r="AGD36" s="39"/>
      <c r="AGE36" s="39"/>
      <c r="AGF36" s="39"/>
      <c r="AGG36" s="39"/>
      <c r="AGH36" s="39"/>
      <c r="AGI36" s="39"/>
      <c r="AGJ36" s="39"/>
      <c r="AGK36" s="39"/>
      <c r="AGL36" s="39"/>
      <c r="AGM36" s="39"/>
      <c r="AGN36" s="39"/>
      <c r="AGO36" s="39"/>
      <c r="AGP36" s="39"/>
      <c r="AGQ36" s="39"/>
      <c r="AGR36" s="39"/>
      <c r="AGS36" s="39"/>
      <c r="AGT36" s="39"/>
      <c r="AGU36" s="39"/>
      <c r="AGV36" s="39"/>
      <c r="AGW36" s="39"/>
      <c r="AGX36" s="39"/>
      <c r="AGY36" s="39"/>
      <c r="AGZ36" s="39"/>
      <c r="AHA36" s="39"/>
      <c r="AHB36" s="39"/>
      <c r="AHC36" s="39"/>
      <c r="AHD36" s="39"/>
      <c r="AHE36" s="39"/>
      <c r="AHF36" s="39"/>
      <c r="AHG36" s="39"/>
      <c r="AHH36" s="39"/>
      <c r="AHI36" s="39"/>
      <c r="AHJ36" s="39"/>
      <c r="AHK36" s="39"/>
      <c r="AHL36" s="39"/>
      <c r="AHM36" s="39"/>
      <c r="AHN36" s="39"/>
      <c r="AHO36" s="39"/>
      <c r="AHP36" s="39"/>
      <c r="AHQ36" s="39"/>
      <c r="AHR36" s="39"/>
      <c r="AHS36" s="39"/>
      <c r="AHT36" s="39"/>
      <c r="AHU36" s="39"/>
      <c r="AHV36" s="39"/>
      <c r="AHW36" s="39"/>
      <c r="AHX36" s="39"/>
      <c r="AHY36" s="39"/>
      <c r="AHZ36" s="39"/>
      <c r="AIA36" s="39"/>
      <c r="AIB36" s="39"/>
      <c r="AIC36" s="39"/>
      <c r="AID36" s="39"/>
      <c r="AIE36" s="39"/>
      <c r="AIF36" s="39"/>
      <c r="AIG36" s="39"/>
      <c r="AIH36" s="39"/>
      <c r="AII36" s="39"/>
      <c r="AIJ36" s="39"/>
      <c r="AIK36" s="39"/>
      <c r="AIL36" s="39"/>
      <c r="AIM36" s="39"/>
      <c r="AIN36" s="39"/>
      <c r="AIO36" s="39"/>
      <c r="AIP36" s="39"/>
      <c r="AIQ36" s="39"/>
      <c r="AIR36" s="39"/>
      <c r="AIS36" s="39"/>
      <c r="AIT36" s="39"/>
      <c r="AIU36" s="39"/>
      <c r="AIV36" s="39"/>
      <c r="AIW36" s="39"/>
      <c r="AIX36" s="39"/>
      <c r="AIY36" s="39"/>
      <c r="AIZ36" s="39"/>
      <c r="AJA36" s="39"/>
      <c r="AJB36" s="39"/>
      <c r="AJC36" s="39"/>
      <c r="AJD36" s="39"/>
      <c r="AJE36" s="39"/>
      <c r="AJF36" s="39"/>
      <c r="AJG36" s="39"/>
      <c r="AJH36" s="39"/>
      <c r="AJI36" s="39"/>
      <c r="AJJ36" s="39"/>
      <c r="AJK36" s="39"/>
      <c r="AJL36" s="39"/>
      <c r="AJM36" s="39"/>
      <c r="AJN36" s="39"/>
      <c r="AJO36" s="39"/>
      <c r="AJP36" s="39"/>
      <c r="AJQ36" s="39"/>
      <c r="AJR36" s="39"/>
      <c r="AJS36" s="39"/>
      <c r="AJT36" s="39"/>
      <c r="AJU36" s="39"/>
      <c r="AJV36" s="39"/>
      <c r="AJW36" s="39"/>
      <c r="AJX36" s="39"/>
      <c r="AJY36" s="39"/>
      <c r="AJZ36" s="39"/>
      <c r="AKA36" s="39"/>
      <c r="AKB36" s="39"/>
      <c r="AKC36" s="39"/>
      <c r="AKD36" s="39"/>
      <c r="AKE36" s="39"/>
      <c r="AKF36" s="39"/>
      <c r="AKG36" s="39"/>
      <c r="AKH36" s="39"/>
      <c r="AKI36" s="39"/>
      <c r="AKJ36" s="39"/>
      <c r="AKK36" s="39"/>
      <c r="AKL36" s="39"/>
      <c r="AKM36" s="39"/>
      <c r="AKN36" s="39"/>
      <c r="AKO36" s="39"/>
      <c r="AKP36" s="39"/>
      <c r="AKQ36" s="39"/>
      <c r="AKR36" s="39"/>
      <c r="AKS36" s="39"/>
      <c r="AKT36" s="39"/>
      <c r="AKU36" s="39"/>
      <c r="AKV36" s="39"/>
      <c r="AKW36" s="39"/>
      <c r="AKX36" s="39"/>
      <c r="AKY36" s="39"/>
      <c r="AKZ36" s="39"/>
      <c r="ALA36" s="39"/>
      <c r="ALB36" s="39"/>
      <c r="ALC36" s="39"/>
      <c r="ALD36" s="39"/>
      <c r="ALE36" s="39"/>
      <c r="ALF36" s="39"/>
      <c r="ALG36" s="39"/>
      <c r="ALH36" s="39"/>
      <c r="ALI36" s="39"/>
      <c r="ALJ36" s="39"/>
      <c r="ALK36" s="39"/>
      <c r="ALL36" s="39"/>
      <c r="ALM36" s="39"/>
      <c r="ALN36" s="39"/>
      <c r="ALO36" s="39"/>
      <c r="ALP36" s="39"/>
    </row>
    <row r="37" spans="1:1004" s="102" customFormat="1" ht="13.5">
      <c r="A37" s="903"/>
      <c r="B37" s="904"/>
      <c r="C37" s="930" t="s">
        <v>283</v>
      </c>
      <c r="D37" s="906"/>
      <c r="E37" s="931">
        <v>2</v>
      </c>
      <c r="F37" s="936">
        <v>5</v>
      </c>
      <c r="G37" s="908">
        <f>E37*F37</f>
        <v>10</v>
      </c>
      <c r="H37" s="933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9"/>
      <c r="MM37" s="39"/>
      <c r="MN37" s="39"/>
      <c r="MO37" s="39"/>
      <c r="MP37" s="39"/>
      <c r="MQ37" s="39"/>
      <c r="MR37" s="39"/>
      <c r="MS37" s="39"/>
      <c r="MT37" s="39"/>
      <c r="MU37" s="39"/>
      <c r="MV37" s="39"/>
      <c r="MW37" s="39"/>
      <c r="MX37" s="39"/>
      <c r="MY37" s="39"/>
      <c r="MZ37" s="39"/>
      <c r="NA37" s="39"/>
      <c r="NB37" s="39"/>
      <c r="NC37" s="39"/>
      <c r="ND37" s="39"/>
      <c r="NE37" s="39"/>
      <c r="NF37" s="39"/>
      <c r="NG37" s="39"/>
      <c r="NH37" s="39"/>
      <c r="NI37" s="39"/>
      <c r="NJ37" s="39"/>
      <c r="NK37" s="39"/>
      <c r="NL37" s="39"/>
      <c r="NM37" s="39"/>
      <c r="NN37" s="39"/>
      <c r="NO37" s="39"/>
      <c r="NP37" s="39"/>
      <c r="NQ37" s="39"/>
      <c r="NR37" s="39"/>
      <c r="NS37" s="39"/>
      <c r="NT37" s="39"/>
      <c r="NU37" s="39"/>
      <c r="NV37" s="39"/>
      <c r="NW37" s="39"/>
      <c r="NX37" s="39"/>
      <c r="NY37" s="39"/>
      <c r="NZ37" s="39"/>
      <c r="OA37" s="39"/>
      <c r="OB37" s="39"/>
      <c r="OC37" s="39"/>
      <c r="OD37" s="39"/>
      <c r="OE37" s="39"/>
      <c r="OF37" s="39"/>
      <c r="OG37" s="39"/>
      <c r="OH37" s="39"/>
      <c r="OI37" s="39"/>
      <c r="OJ37" s="39"/>
      <c r="OK37" s="39"/>
      <c r="OL37" s="39"/>
      <c r="OM37" s="39"/>
      <c r="ON37" s="39"/>
      <c r="OO37" s="39"/>
      <c r="OP37" s="39"/>
      <c r="OQ37" s="39"/>
      <c r="OR37" s="39"/>
      <c r="OS37" s="39"/>
      <c r="OT37" s="39"/>
      <c r="OU37" s="39"/>
      <c r="OV37" s="39"/>
      <c r="OW37" s="39"/>
      <c r="OX37" s="39"/>
      <c r="OY37" s="39"/>
      <c r="OZ37" s="39"/>
      <c r="PA37" s="39"/>
      <c r="PB37" s="39"/>
      <c r="PC37" s="39"/>
      <c r="PD37" s="39"/>
      <c r="PE37" s="39"/>
      <c r="PF37" s="39"/>
      <c r="PG37" s="39"/>
      <c r="PH37" s="39"/>
      <c r="PI37" s="39"/>
      <c r="PJ37" s="39"/>
      <c r="PK37" s="39"/>
      <c r="PL37" s="39"/>
      <c r="PM37" s="39"/>
      <c r="PN37" s="39"/>
      <c r="PO37" s="39"/>
      <c r="PP37" s="39"/>
      <c r="PQ37" s="39"/>
      <c r="PR37" s="39"/>
      <c r="PS37" s="39"/>
      <c r="PT37" s="39"/>
      <c r="PU37" s="39"/>
      <c r="PV37" s="39"/>
      <c r="PW37" s="39"/>
      <c r="PX37" s="39"/>
      <c r="PY37" s="39"/>
      <c r="PZ37" s="39"/>
      <c r="QA37" s="39"/>
      <c r="QB37" s="39"/>
      <c r="QC37" s="39"/>
      <c r="QD37" s="39"/>
      <c r="QE37" s="39"/>
      <c r="QF37" s="39"/>
      <c r="QG37" s="39"/>
      <c r="QH37" s="39"/>
      <c r="QI37" s="39"/>
      <c r="QJ37" s="39"/>
      <c r="QK37" s="39"/>
      <c r="QL37" s="39"/>
      <c r="QM37" s="39"/>
      <c r="QN37" s="39"/>
      <c r="QO37" s="39"/>
      <c r="QP37" s="39"/>
      <c r="QQ37" s="39"/>
      <c r="QR37" s="39"/>
      <c r="QS37" s="39"/>
      <c r="QT37" s="39"/>
      <c r="QU37" s="39"/>
      <c r="QV37" s="39"/>
      <c r="QW37" s="39"/>
      <c r="QX37" s="39"/>
      <c r="QY37" s="39"/>
      <c r="QZ37" s="39"/>
      <c r="RA37" s="39"/>
      <c r="RB37" s="39"/>
      <c r="RC37" s="39"/>
      <c r="RD37" s="39"/>
      <c r="RE37" s="39"/>
      <c r="RF37" s="39"/>
      <c r="RG37" s="39"/>
      <c r="RH37" s="39"/>
      <c r="RI37" s="39"/>
      <c r="RJ37" s="39"/>
      <c r="RK37" s="39"/>
      <c r="RL37" s="39"/>
      <c r="RM37" s="39"/>
      <c r="RN37" s="39"/>
      <c r="RO37" s="39"/>
      <c r="RP37" s="39"/>
      <c r="RQ37" s="39"/>
      <c r="RR37" s="39"/>
      <c r="RS37" s="39"/>
      <c r="RT37" s="39"/>
      <c r="RU37" s="39"/>
      <c r="RV37" s="39"/>
      <c r="RW37" s="39"/>
      <c r="RX37" s="39"/>
      <c r="RY37" s="39"/>
      <c r="RZ37" s="39"/>
      <c r="SA37" s="39"/>
      <c r="SB37" s="39"/>
      <c r="SC37" s="39"/>
      <c r="SD37" s="39"/>
      <c r="SE37" s="39"/>
      <c r="SF37" s="39"/>
      <c r="SG37" s="39"/>
      <c r="SH37" s="39"/>
      <c r="SI37" s="39"/>
      <c r="SJ37" s="39"/>
      <c r="SK37" s="39"/>
      <c r="SL37" s="39"/>
      <c r="SM37" s="39"/>
      <c r="SN37" s="39"/>
      <c r="SO37" s="39"/>
      <c r="SP37" s="39"/>
      <c r="SQ37" s="39"/>
      <c r="SR37" s="39"/>
      <c r="SS37" s="39"/>
      <c r="ST37" s="39"/>
      <c r="SU37" s="39"/>
      <c r="SV37" s="39"/>
      <c r="SW37" s="39"/>
      <c r="SX37" s="39"/>
      <c r="SY37" s="39"/>
      <c r="SZ37" s="39"/>
      <c r="TA37" s="39"/>
      <c r="TB37" s="39"/>
      <c r="TC37" s="39"/>
      <c r="TD37" s="39"/>
      <c r="TE37" s="39"/>
      <c r="TF37" s="39"/>
      <c r="TG37" s="39"/>
      <c r="TH37" s="39"/>
      <c r="TI37" s="39"/>
      <c r="TJ37" s="39"/>
      <c r="TK37" s="39"/>
      <c r="TL37" s="39"/>
      <c r="TM37" s="39"/>
      <c r="TN37" s="39"/>
      <c r="TO37" s="39"/>
      <c r="TP37" s="39"/>
      <c r="TQ37" s="39"/>
      <c r="TR37" s="39"/>
      <c r="TS37" s="39"/>
      <c r="TT37" s="39"/>
      <c r="TU37" s="39"/>
      <c r="TV37" s="39"/>
      <c r="TW37" s="39"/>
      <c r="TX37" s="39"/>
      <c r="TY37" s="39"/>
      <c r="TZ37" s="39"/>
      <c r="UA37" s="39"/>
      <c r="UB37" s="39"/>
      <c r="UC37" s="39"/>
      <c r="UD37" s="39"/>
      <c r="UE37" s="39"/>
      <c r="UF37" s="39"/>
      <c r="UG37" s="39"/>
      <c r="UH37" s="39"/>
      <c r="UI37" s="39"/>
      <c r="UJ37" s="39"/>
      <c r="UK37" s="39"/>
      <c r="UL37" s="39"/>
      <c r="UM37" s="39"/>
      <c r="UN37" s="39"/>
      <c r="UO37" s="39"/>
      <c r="UP37" s="39"/>
      <c r="UQ37" s="39"/>
      <c r="UR37" s="39"/>
      <c r="US37" s="39"/>
      <c r="UT37" s="39"/>
      <c r="UU37" s="39"/>
      <c r="UV37" s="39"/>
      <c r="UW37" s="39"/>
      <c r="UX37" s="39"/>
      <c r="UY37" s="39"/>
      <c r="UZ37" s="39"/>
      <c r="VA37" s="39"/>
      <c r="VB37" s="39"/>
      <c r="VC37" s="39"/>
      <c r="VD37" s="39"/>
      <c r="VE37" s="39"/>
      <c r="VF37" s="39"/>
      <c r="VG37" s="39"/>
      <c r="VH37" s="39"/>
      <c r="VI37" s="39"/>
      <c r="VJ37" s="39"/>
      <c r="VK37" s="39"/>
      <c r="VL37" s="39"/>
      <c r="VM37" s="39"/>
      <c r="VN37" s="39"/>
      <c r="VO37" s="39"/>
      <c r="VP37" s="39"/>
      <c r="VQ37" s="39"/>
      <c r="VR37" s="39"/>
      <c r="VS37" s="39"/>
      <c r="VT37" s="39"/>
      <c r="VU37" s="39"/>
      <c r="VV37" s="39"/>
      <c r="VW37" s="39"/>
      <c r="VX37" s="39"/>
      <c r="VY37" s="39"/>
      <c r="VZ37" s="39"/>
      <c r="WA37" s="39"/>
      <c r="WB37" s="39"/>
      <c r="WC37" s="39"/>
      <c r="WD37" s="39"/>
      <c r="WE37" s="39"/>
      <c r="WF37" s="39"/>
      <c r="WG37" s="39"/>
      <c r="WH37" s="39"/>
      <c r="WI37" s="39"/>
      <c r="WJ37" s="39"/>
      <c r="WK37" s="39"/>
      <c r="WL37" s="39"/>
      <c r="WM37" s="39"/>
      <c r="WN37" s="39"/>
      <c r="WO37" s="39"/>
      <c r="WP37" s="39"/>
      <c r="WQ37" s="39"/>
      <c r="WR37" s="39"/>
      <c r="WS37" s="39"/>
      <c r="WT37" s="39"/>
      <c r="WU37" s="39"/>
      <c r="WV37" s="39"/>
      <c r="WW37" s="39"/>
      <c r="WX37" s="39"/>
      <c r="WY37" s="39"/>
      <c r="WZ37" s="39"/>
      <c r="XA37" s="39"/>
      <c r="XB37" s="39"/>
      <c r="XC37" s="39"/>
      <c r="XD37" s="39"/>
      <c r="XE37" s="39"/>
      <c r="XF37" s="39"/>
      <c r="XG37" s="39"/>
      <c r="XH37" s="39"/>
      <c r="XI37" s="39"/>
      <c r="XJ37" s="39"/>
      <c r="XK37" s="39"/>
      <c r="XL37" s="39"/>
      <c r="XM37" s="39"/>
      <c r="XN37" s="39"/>
      <c r="XO37" s="39"/>
      <c r="XP37" s="39"/>
      <c r="XQ37" s="39"/>
      <c r="XR37" s="39"/>
      <c r="XS37" s="39"/>
      <c r="XT37" s="39"/>
      <c r="XU37" s="39"/>
      <c r="XV37" s="39"/>
      <c r="XW37" s="39"/>
      <c r="XX37" s="39"/>
      <c r="XY37" s="39"/>
      <c r="XZ37" s="39"/>
      <c r="YA37" s="39"/>
      <c r="YB37" s="39"/>
      <c r="YC37" s="39"/>
      <c r="YD37" s="39"/>
      <c r="YE37" s="39"/>
      <c r="YF37" s="39"/>
      <c r="YG37" s="39"/>
      <c r="YH37" s="39"/>
      <c r="YI37" s="39"/>
      <c r="YJ37" s="39"/>
      <c r="YK37" s="39"/>
      <c r="YL37" s="39"/>
      <c r="YM37" s="39"/>
      <c r="YN37" s="39"/>
      <c r="YO37" s="39"/>
      <c r="YP37" s="39"/>
      <c r="YQ37" s="39"/>
      <c r="YR37" s="39"/>
      <c r="YS37" s="39"/>
      <c r="YT37" s="39"/>
      <c r="YU37" s="39"/>
      <c r="YV37" s="39"/>
      <c r="YW37" s="39"/>
      <c r="YX37" s="39"/>
      <c r="YY37" s="39"/>
      <c r="YZ37" s="39"/>
      <c r="ZA37" s="39"/>
      <c r="ZB37" s="39"/>
      <c r="ZC37" s="39"/>
      <c r="ZD37" s="39"/>
      <c r="ZE37" s="39"/>
      <c r="ZF37" s="39"/>
      <c r="ZG37" s="39"/>
      <c r="ZH37" s="39"/>
      <c r="ZI37" s="39"/>
      <c r="ZJ37" s="39"/>
      <c r="ZK37" s="39"/>
      <c r="ZL37" s="39"/>
      <c r="ZM37" s="39"/>
      <c r="ZN37" s="39"/>
      <c r="ZO37" s="39"/>
      <c r="ZP37" s="39"/>
      <c r="ZQ37" s="39"/>
      <c r="ZR37" s="39"/>
      <c r="ZS37" s="39"/>
      <c r="ZT37" s="39"/>
      <c r="ZU37" s="39"/>
      <c r="ZV37" s="39"/>
      <c r="ZW37" s="39"/>
      <c r="ZX37" s="39"/>
      <c r="ZY37" s="39"/>
      <c r="ZZ37" s="39"/>
      <c r="AAA37" s="39"/>
      <c r="AAB37" s="39"/>
      <c r="AAC37" s="39"/>
      <c r="AAD37" s="39"/>
      <c r="AAE37" s="39"/>
      <c r="AAF37" s="39"/>
      <c r="AAG37" s="39"/>
      <c r="AAH37" s="39"/>
      <c r="AAI37" s="39"/>
      <c r="AAJ37" s="39"/>
      <c r="AAK37" s="39"/>
      <c r="AAL37" s="39"/>
      <c r="AAM37" s="39"/>
      <c r="AAN37" s="39"/>
      <c r="AAO37" s="39"/>
      <c r="AAP37" s="39"/>
      <c r="AAQ37" s="39"/>
      <c r="AAR37" s="39"/>
      <c r="AAS37" s="39"/>
      <c r="AAT37" s="39"/>
      <c r="AAU37" s="39"/>
      <c r="AAV37" s="39"/>
      <c r="AAW37" s="39"/>
      <c r="AAX37" s="39"/>
      <c r="AAY37" s="39"/>
      <c r="AAZ37" s="39"/>
      <c r="ABA37" s="39"/>
      <c r="ABB37" s="39"/>
      <c r="ABC37" s="39"/>
      <c r="ABD37" s="39"/>
      <c r="ABE37" s="39"/>
      <c r="ABF37" s="39"/>
      <c r="ABG37" s="39"/>
      <c r="ABH37" s="39"/>
      <c r="ABI37" s="39"/>
      <c r="ABJ37" s="39"/>
      <c r="ABK37" s="39"/>
      <c r="ABL37" s="39"/>
      <c r="ABM37" s="39"/>
      <c r="ABN37" s="39"/>
      <c r="ABO37" s="39"/>
      <c r="ABP37" s="39"/>
      <c r="ABQ37" s="39"/>
      <c r="ABR37" s="39"/>
      <c r="ABS37" s="39"/>
      <c r="ABT37" s="39"/>
      <c r="ABU37" s="39"/>
      <c r="ABV37" s="39"/>
      <c r="ABW37" s="39"/>
      <c r="ABX37" s="39"/>
      <c r="ABY37" s="39"/>
      <c r="ABZ37" s="39"/>
      <c r="ACA37" s="39"/>
      <c r="ACB37" s="39"/>
      <c r="ACC37" s="39"/>
      <c r="ACD37" s="39"/>
      <c r="ACE37" s="39"/>
      <c r="ACF37" s="39"/>
      <c r="ACG37" s="39"/>
      <c r="ACH37" s="39"/>
      <c r="ACI37" s="39"/>
      <c r="ACJ37" s="39"/>
      <c r="ACK37" s="39"/>
      <c r="ACL37" s="39"/>
      <c r="ACM37" s="39"/>
      <c r="ACN37" s="39"/>
      <c r="ACO37" s="39"/>
      <c r="ACP37" s="39"/>
      <c r="ACQ37" s="39"/>
      <c r="ACR37" s="39"/>
      <c r="ACS37" s="39"/>
      <c r="ACT37" s="39"/>
      <c r="ACU37" s="39"/>
      <c r="ACV37" s="39"/>
      <c r="ACW37" s="39"/>
      <c r="ACX37" s="39"/>
      <c r="ACY37" s="39"/>
      <c r="ACZ37" s="39"/>
      <c r="ADA37" s="39"/>
      <c r="ADB37" s="39"/>
      <c r="ADC37" s="39"/>
      <c r="ADD37" s="39"/>
      <c r="ADE37" s="39"/>
      <c r="ADF37" s="39"/>
      <c r="ADG37" s="39"/>
      <c r="ADH37" s="39"/>
      <c r="ADI37" s="39"/>
      <c r="ADJ37" s="39"/>
      <c r="ADK37" s="39"/>
      <c r="ADL37" s="39"/>
      <c r="ADM37" s="39"/>
      <c r="ADN37" s="39"/>
      <c r="ADO37" s="39"/>
      <c r="ADP37" s="39"/>
      <c r="ADQ37" s="39"/>
      <c r="ADR37" s="39"/>
      <c r="ADS37" s="39"/>
      <c r="ADT37" s="39"/>
      <c r="ADU37" s="39"/>
      <c r="ADV37" s="39"/>
      <c r="ADW37" s="39"/>
      <c r="ADX37" s="39"/>
      <c r="ADY37" s="39"/>
      <c r="ADZ37" s="39"/>
      <c r="AEA37" s="39"/>
      <c r="AEB37" s="39"/>
      <c r="AEC37" s="39"/>
      <c r="AED37" s="39"/>
      <c r="AEE37" s="39"/>
      <c r="AEF37" s="39"/>
      <c r="AEG37" s="39"/>
      <c r="AEH37" s="39"/>
      <c r="AEI37" s="39"/>
      <c r="AEJ37" s="39"/>
      <c r="AEK37" s="39"/>
      <c r="AEL37" s="39"/>
      <c r="AEM37" s="39"/>
      <c r="AEN37" s="39"/>
      <c r="AEO37" s="39"/>
      <c r="AEP37" s="39"/>
      <c r="AEQ37" s="39"/>
      <c r="AER37" s="39"/>
      <c r="AES37" s="39"/>
      <c r="AET37" s="39"/>
      <c r="AEU37" s="39"/>
      <c r="AEV37" s="39"/>
      <c r="AEW37" s="39"/>
      <c r="AEX37" s="39"/>
      <c r="AEY37" s="39"/>
      <c r="AEZ37" s="39"/>
      <c r="AFA37" s="39"/>
      <c r="AFB37" s="39"/>
      <c r="AFC37" s="39"/>
      <c r="AFD37" s="39"/>
      <c r="AFE37" s="39"/>
      <c r="AFF37" s="39"/>
      <c r="AFG37" s="39"/>
      <c r="AFH37" s="39"/>
      <c r="AFI37" s="39"/>
      <c r="AFJ37" s="39"/>
      <c r="AFK37" s="39"/>
      <c r="AFL37" s="39"/>
      <c r="AFM37" s="39"/>
      <c r="AFN37" s="39"/>
      <c r="AFO37" s="39"/>
      <c r="AFP37" s="39"/>
      <c r="AFQ37" s="39"/>
      <c r="AFR37" s="39"/>
      <c r="AFS37" s="39"/>
      <c r="AFT37" s="39"/>
      <c r="AFU37" s="39"/>
      <c r="AFV37" s="39"/>
      <c r="AFW37" s="39"/>
      <c r="AFX37" s="39"/>
      <c r="AFY37" s="39"/>
      <c r="AFZ37" s="39"/>
      <c r="AGA37" s="39"/>
      <c r="AGB37" s="39"/>
      <c r="AGC37" s="39"/>
      <c r="AGD37" s="39"/>
      <c r="AGE37" s="39"/>
      <c r="AGF37" s="39"/>
      <c r="AGG37" s="39"/>
      <c r="AGH37" s="39"/>
      <c r="AGI37" s="39"/>
      <c r="AGJ37" s="39"/>
      <c r="AGK37" s="39"/>
      <c r="AGL37" s="39"/>
      <c r="AGM37" s="39"/>
      <c r="AGN37" s="39"/>
      <c r="AGO37" s="39"/>
      <c r="AGP37" s="39"/>
      <c r="AGQ37" s="39"/>
      <c r="AGR37" s="39"/>
      <c r="AGS37" s="39"/>
      <c r="AGT37" s="39"/>
      <c r="AGU37" s="39"/>
      <c r="AGV37" s="39"/>
      <c r="AGW37" s="39"/>
      <c r="AGX37" s="39"/>
      <c r="AGY37" s="39"/>
      <c r="AGZ37" s="39"/>
      <c r="AHA37" s="39"/>
      <c r="AHB37" s="39"/>
      <c r="AHC37" s="39"/>
      <c r="AHD37" s="39"/>
      <c r="AHE37" s="39"/>
      <c r="AHF37" s="39"/>
      <c r="AHG37" s="39"/>
      <c r="AHH37" s="39"/>
      <c r="AHI37" s="39"/>
      <c r="AHJ37" s="39"/>
      <c r="AHK37" s="39"/>
      <c r="AHL37" s="39"/>
      <c r="AHM37" s="39"/>
      <c r="AHN37" s="39"/>
      <c r="AHO37" s="39"/>
      <c r="AHP37" s="39"/>
      <c r="AHQ37" s="39"/>
      <c r="AHR37" s="39"/>
      <c r="AHS37" s="39"/>
      <c r="AHT37" s="39"/>
      <c r="AHU37" s="39"/>
      <c r="AHV37" s="39"/>
      <c r="AHW37" s="39"/>
      <c r="AHX37" s="39"/>
      <c r="AHY37" s="39"/>
      <c r="AHZ37" s="39"/>
      <c r="AIA37" s="39"/>
      <c r="AIB37" s="39"/>
      <c r="AIC37" s="39"/>
      <c r="AID37" s="39"/>
      <c r="AIE37" s="39"/>
      <c r="AIF37" s="39"/>
      <c r="AIG37" s="39"/>
      <c r="AIH37" s="39"/>
      <c r="AII37" s="39"/>
      <c r="AIJ37" s="39"/>
      <c r="AIK37" s="39"/>
      <c r="AIL37" s="39"/>
      <c r="AIM37" s="39"/>
      <c r="AIN37" s="39"/>
      <c r="AIO37" s="39"/>
      <c r="AIP37" s="39"/>
      <c r="AIQ37" s="39"/>
      <c r="AIR37" s="39"/>
      <c r="AIS37" s="39"/>
      <c r="AIT37" s="39"/>
      <c r="AIU37" s="39"/>
      <c r="AIV37" s="39"/>
      <c r="AIW37" s="39"/>
      <c r="AIX37" s="39"/>
      <c r="AIY37" s="39"/>
      <c r="AIZ37" s="39"/>
      <c r="AJA37" s="39"/>
      <c r="AJB37" s="39"/>
      <c r="AJC37" s="39"/>
      <c r="AJD37" s="39"/>
      <c r="AJE37" s="39"/>
      <c r="AJF37" s="39"/>
      <c r="AJG37" s="39"/>
      <c r="AJH37" s="39"/>
      <c r="AJI37" s="39"/>
      <c r="AJJ37" s="39"/>
      <c r="AJK37" s="39"/>
      <c r="AJL37" s="39"/>
      <c r="AJM37" s="39"/>
      <c r="AJN37" s="39"/>
      <c r="AJO37" s="39"/>
      <c r="AJP37" s="39"/>
      <c r="AJQ37" s="39"/>
      <c r="AJR37" s="39"/>
      <c r="AJS37" s="39"/>
      <c r="AJT37" s="39"/>
      <c r="AJU37" s="39"/>
      <c r="AJV37" s="39"/>
      <c r="AJW37" s="39"/>
      <c r="AJX37" s="39"/>
      <c r="AJY37" s="39"/>
      <c r="AJZ37" s="39"/>
      <c r="AKA37" s="39"/>
      <c r="AKB37" s="39"/>
      <c r="AKC37" s="39"/>
      <c r="AKD37" s="39"/>
      <c r="AKE37" s="39"/>
      <c r="AKF37" s="39"/>
      <c r="AKG37" s="39"/>
      <c r="AKH37" s="39"/>
      <c r="AKI37" s="39"/>
      <c r="AKJ37" s="39"/>
      <c r="AKK37" s="39"/>
      <c r="AKL37" s="39"/>
      <c r="AKM37" s="39"/>
      <c r="AKN37" s="39"/>
      <c r="AKO37" s="39"/>
      <c r="AKP37" s="39"/>
      <c r="AKQ37" s="39"/>
      <c r="AKR37" s="39"/>
      <c r="AKS37" s="39"/>
      <c r="AKT37" s="39"/>
      <c r="AKU37" s="39"/>
      <c r="AKV37" s="39"/>
      <c r="AKW37" s="39"/>
      <c r="AKX37" s="39"/>
      <c r="AKY37" s="39"/>
      <c r="AKZ37" s="39"/>
      <c r="ALA37" s="39"/>
      <c r="ALB37" s="39"/>
      <c r="ALC37" s="39"/>
      <c r="ALD37" s="39"/>
      <c r="ALE37" s="39"/>
      <c r="ALF37" s="39"/>
      <c r="ALG37" s="39"/>
      <c r="ALH37" s="39"/>
      <c r="ALI37" s="39"/>
      <c r="ALJ37" s="39"/>
      <c r="ALK37" s="39"/>
      <c r="ALL37" s="39"/>
      <c r="ALM37" s="39"/>
      <c r="ALN37" s="39"/>
      <c r="ALO37" s="39"/>
      <c r="ALP37" s="39"/>
    </row>
    <row r="38" spans="1:1004" s="102" customFormat="1" ht="13.5">
      <c r="A38" s="903"/>
      <c r="B38" s="904"/>
      <c r="C38" s="930" t="s">
        <v>284</v>
      </c>
      <c r="D38" s="906"/>
      <c r="E38" s="931">
        <v>0</v>
      </c>
      <c r="F38" s="935">
        <v>35</v>
      </c>
      <c r="G38" s="908">
        <f>E38*F38</f>
        <v>0</v>
      </c>
      <c r="H38" s="933"/>
    </row>
    <row r="39" spans="1:1004" s="102" customFormat="1" ht="13.5">
      <c r="A39" s="903"/>
      <c r="B39" s="904"/>
      <c r="C39" s="930" t="s">
        <v>285</v>
      </c>
      <c r="D39" s="906"/>
      <c r="E39" s="931">
        <v>1</v>
      </c>
      <c r="F39" s="935">
        <v>10</v>
      </c>
      <c r="G39" s="908">
        <f>E39*F39</f>
        <v>10</v>
      </c>
      <c r="H39" s="933"/>
    </row>
    <row r="40" spans="1:1004" s="39" customFormat="1" ht="11.45" customHeight="1">
      <c r="A40" s="23"/>
      <c r="B40" s="24"/>
      <c r="C40" s="30"/>
      <c r="D40" s="25"/>
      <c r="E40" s="26"/>
      <c r="F40" s="27" t="s">
        <v>15</v>
      </c>
      <c r="G40" s="28">
        <f>SUM(G33:G39)</f>
        <v>98</v>
      </c>
      <c r="H40" s="29"/>
    </row>
    <row r="41" spans="1:1004" s="39" customFormat="1" ht="11.45" customHeight="1">
      <c r="A41" s="914"/>
      <c r="B41" s="915"/>
      <c r="C41" s="916"/>
      <c r="D41" s="917"/>
      <c r="E41" s="918"/>
      <c r="F41" s="919" t="s">
        <v>16</v>
      </c>
      <c r="G41" s="920">
        <v>1.2</v>
      </c>
      <c r="H41" s="921"/>
    </row>
    <row r="42" spans="1:1004" s="39" customFormat="1" ht="11.45" customHeight="1">
      <c r="A42" s="922"/>
      <c r="B42" s="923"/>
      <c r="C42" s="924"/>
      <c r="D42" s="925"/>
      <c r="E42" s="926"/>
      <c r="F42" s="927" t="s">
        <v>17</v>
      </c>
      <c r="G42" s="928">
        <f>G40*G41</f>
        <v>117.6</v>
      </c>
      <c r="H42" s="929"/>
    </row>
    <row r="43" spans="1:1004" s="39" customFormat="1" ht="13.5">
      <c r="A43" s="802" t="s">
        <v>286</v>
      </c>
      <c r="B43" s="149"/>
      <c r="C43" s="150"/>
      <c r="D43" s="151"/>
      <c r="E43" s="151"/>
      <c r="F43" s="152"/>
      <c r="G43" s="152"/>
      <c r="H43" s="803"/>
    </row>
    <row r="44" spans="1:1004" s="102" customFormat="1" ht="13.5">
      <c r="A44" s="903"/>
      <c r="B44" s="904"/>
      <c r="C44" s="930" t="s">
        <v>275</v>
      </c>
      <c r="D44" s="906"/>
      <c r="E44" s="931">
        <v>1</v>
      </c>
      <c r="F44" s="932">
        <v>10</v>
      </c>
      <c r="G44" s="908">
        <f>E44*F44</f>
        <v>10</v>
      </c>
      <c r="H44" s="933"/>
    </row>
    <row r="45" spans="1:1004" s="102" customFormat="1" ht="13.5">
      <c r="A45" s="903"/>
      <c r="B45" s="904"/>
      <c r="C45" s="930" t="s">
        <v>276</v>
      </c>
      <c r="D45" s="906"/>
      <c r="E45" s="931">
        <v>1</v>
      </c>
      <c r="F45" s="932">
        <v>24</v>
      </c>
      <c r="G45" s="908">
        <f>E45*F45</f>
        <v>24</v>
      </c>
      <c r="H45" s="933"/>
    </row>
    <row r="46" spans="1:1004" s="42" customFormat="1" ht="13.5">
      <c r="A46" s="903"/>
      <c r="B46" s="904"/>
      <c r="C46" s="930" t="s">
        <v>287</v>
      </c>
      <c r="D46" s="906"/>
      <c r="E46" s="931">
        <v>1</v>
      </c>
      <c r="F46" s="936">
        <v>15</v>
      </c>
      <c r="G46" s="908">
        <f>E46*F46</f>
        <v>15</v>
      </c>
      <c r="H46" s="933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  <c r="NX46" s="39"/>
      <c r="NY46" s="39"/>
      <c r="NZ46" s="39"/>
      <c r="OA46" s="39"/>
      <c r="OB46" s="39"/>
      <c r="OC46" s="39"/>
      <c r="OD46" s="39"/>
      <c r="OE46" s="39"/>
      <c r="OF46" s="39"/>
      <c r="OG46" s="39"/>
      <c r="OH46" s="39"/>
      <c r="OI46" s="39"/>
      <c r="OJ46" s="39"/>
      <c r="OK46" s="39"/>
      <c r="OL46" s="39"/>
      <c r="OM46" s="39"/>
      <c r="ON46" s="39"/>
      <c r="OO46" s="39"/>
      <c r="OP46" s="39"/>
      <c r="OQ46" s="39"/>
      <c r="OR46" s="39"/>
      <c r="OS46" s="39"/>
      <c r="OT46" s="39"/>
      <c r="OU46" s="39"/>
      <c r="OV46" s="39"/>
      <c r="OW46" s="39"/>
      <c r="OX46" s="39"/>
      <c r="OY46" s="39"/>
      <c r="OZ46" s="39"/>
      <c r="PA46" s="39"/>
      <c r="PB46" s="39"/>
      <c r="PC46" s="39"/>
      <c r="PD46" s="39"/>
      <c r="PE46" s="39"/>
      <c r="PF46" s="39"/>
      <c r="PG46" s="39"/>
      <c r="PH46" s="39"/>
      <c r="PI46" s="39"/>
      <c r="PJ46" s="39"/>
      <c r="PK46" s="39"/>
      <c r="PL46" s="39"/>
      <c r="PM46" s="39"/>
      <c r="PN46" s="39"/>
      <c r="PO46" s="39"/>
      <c r="PP46" s="39"/>
      <c r="PQ46" s="39"/>
      <c r="PR46" s="39"/>
      <c r="PS46" s="39"/>
      <c r="PT46" s="39"/>
      <c r="PU46" s="39"/>
      <c r="PV46" s="39"/>
      <c r="PW46" s="39"/>
      <c r="PX46" s="39"/>
      <c r="PY46" s="39"/>
      <c r="PZ46" s="39"/>
      <c r="QA46" s="39"/>
      <c r="QB46" s="39"/>
      <c r="QC46" s="39"/>
      <c r="QD46" s="39"/>
      <c r="QE46" s="39"/>
      <c r="QF46" s="39"/>
      <c r="QG46" s="39"/>
      <c r="QH46" s="39"/>
      <c r="QI46" s="39"/>
      <c r="QJ46" s="39"/>
      <c r="QK46" s="39"/>
      <c r="QL46" s="39"/>
      <c r="QM46" s="39"/>
      <c r="QN46" s="39"/>
      <c r="QO46" s="39"/>
      <c r="QP46" s="39"/>
      <c r="QQ46" s="39"/>
      <c r="QR46" s="39"/>
      <c r="QS46" s="39"/>
      <c r="QT46" s="39"/>
      <c r="QU46" s="39"/>
      <c r="QV46" s="39"/>
      <c r="QW46" s="39"/>
      <c r="QX46" s="39"/>
      <c r="QY46" s="39"/>
      <c r="QZ46" s="39"/>
      <c r="RA46" s="39"/>
      <c r="RB46" s="39"/>
      <c r="RC46" s="39"/>
      <c r="RD46" s="39"/>
      <c r="RE46" s="39"/>
      <c r="RF46" s="39"/>
      <c r="RG46" s="39"/>
      <c r="RH46" s="39"/>
      <c r="RI46" s="39"/>
      <c r="RJ46" s="39"/>
      <c r="RK46" s="39"/>
      <c r="RL46" s="39"/>
      <c r="RM46" s="39"/>
      <c r="RN46" s="39"/>
      <c r="RO46" s="39"/>
      <c r="RP46" s="39"/>
      <c r="RQ46" s="39"/>
      <c r="RR46" s="39"/>
      <c r="RS46" s="39"/>
      <c r="RT46" s="39"/>
      <c r="RU46" s="39"/>
      <c r="RV46" s="39"/>
      <c r="RW46" s="39"/>
      <c r="RX46" s="39"/>
      <c r="RY46" s="39"/>
      <c r="RZ46" s="39"/>
      <c r="SA46" s="39"/>
      <c r="SB46" s="39"/>
      <c r="SC46" s="39"/>
      <c r="SD46" s="39"/>
      <c r="SE46" s="39"/>
      <c r="SF46" s="39"/>
      <c r="SG46" s="39"/>
      <c r="SH46" s="39"/>
      <c r="SI46" s="39"/>
      <c r="SJ46" s="39"/>
      <c r="SK46" s="39"/>
      <c r="SL46" s="39"/>
      <c r="SM46" s="39"/>
      <c r="SN46" s="39"/>
      <c r="SO46" s="39"/>
      <c r="SP46" s="39"/>
      <c r="SQ46" s="39"/>
      <c r="SR46" s="39"/>
      <c r="SS46" s="39"/>
      <c r="ST46" s="39"/>
      <c r="SU46" s="39"/>
      <c r="SV46" s="39"/>
      <c r="SW46" s="39"/>
      <c r="SX46" s="39"/>
      <c r="SY46" s="39"/>
      <c r="SZ46" s="39"/>
      <c r="TA46" s="39"/>
      <c r="TB46" s="39"/>
      <c r="TC46" s="39"/>
      <c r="TD46" s="39"/>
      <c r="TE46" s="39"/>
      <c r="TF46" s="39"/>
      <c r="TG46" s="39"/>
      <c r="TH46" s="39"/>
      <c r="TI46" s="39"/>
      <c r="TJ46" s="39"/>
      <c r="TK46" s="39"/>
      <c r="TL46" s="39"/>
      <c r="TM46" s="39"/>
      <c r="TN46" s="39"/>
      <c r="TO46" s="39"/>
      <c r="TP46" s="39"/>
      <c r="TQ46" s="39"/>
      <c r="TR46" s="39"/>
      <c r="TS46" s="39"/>
      <c r="TT46" s="39"/>
      <c r="TU46" s="39"/>
      <c r="TV46" s="39"/>
      <c r="TW46" s="39"/>
      <c r="TX46" s="39"/>
      <c r="TY46" s="39"/>
      <c r="TZ46" s="39"/>
      <c r="UA46" s="39"/>
      <c r="UB46" s="39"/>
      <c r="UC46" s="39"/>
      <c r="UD46" s="39"/>
      <c r="UE46" s="39"/>
      <c r="UF46" s="39"/>
      <c r="UG46" s="39"/>
      <c r="UH46" s="39"/>
      <c r="UI46" s="39"/>
      <c r="UJ46" s="39"/>
      <c r="UK46" s="39"/>
      <c r="UL46" s="39"/>
      <c r="UM46" s="39"/>
      <c r="UN46" s="39"/>
      <c r="UO46" s="39"/>
      <c r="UP46" s="39"/>
      <c r="UQ46" s="39"/>
      <c r="UR46" s="39"/>
      <c r="US46" s="39"/>
      <c r="UT46" s="39"/>
      <c r="UU46" s="39"/>
      <c r="UV46" s="39"/>
      <c r="UW46" s="39"/>
      <c r="UX46" s="39"/>
      <c r="UY46" s="39"/>
      <c r="UZ46" s="39"/>
      <c r="VA46" s="39"/>
      <c r="VB46" s="39"/>
      <c r="VC46" s="39"/>
      <c r="VD46" s="39"/>
      <c r="VE46" s="39"/>
      <c r="VF46" s="39"/>
      <c r="VG46" s="39"/>
      <c r="VH46" s="39"/>
      <c r="VI46" s="39"/>
      <c r="VJ46" s="39"/>
      <c r="VK46" s="39"/>
      <c r="VL46" s="39"/>
      <c r="VM46" s="39"/>
      <c r="VN46" s="39"/>
      <c r="VO46" s="39"/>
      <c r="VP46" s="39"/>
      <c r="VQ46" s="39"/>
      <c r="VR46" s="39"/>
      <c r="VS46" s="39"/>
      <c r="VT46" s="39"/>
      <c r="VU46" s="39"/>
      <c r="VV46" s="39"/>
      <c r="VW46" s="39"/>
      <c r="VX46" s="39"/>
      <c r="VY46" s="39"/>
      <c r="VZ46" s="39"/>
      <c r="WA46" s="39"/>
      <c r="WB46" s="39"/>
      <c r="WC46" s="39"/>
      <c r="WD46" s="39"/>
      <c r="WE46" s="39"/>
      <c r="WF46" s="39"/>
      <c r="WG46" s="39"/>
      <c r="WH46" s="39"/>
      <c r="WI46" s="39"/>
      <c r="WJ46" s="39"/>
      <c r="WK46" s="39"/>
      <c r="WL46" s="39"/>
      <c r="WM46" s="39"/>
      <c r="WN46" s="39"/>
      <c r="WO46" s="39"/>
      <c r="WP46" s="39"/>
      <c r="WQ46" s="39"/>
      <c r="WR46" s="39"/>
      <c r="WS46" s="39"/>
      <c r="WT46" s="39"/>
      <c r="WU46" s="39"/>
      <c r="WV46" s="39"/>
      <c r="WW46" s="39"/>
      <c r="WX46" s="39"/>
      <c r="WY46" s="39"/>
      <c r="WZ46" s="39"/>
      <c r="XA46" s="39"/>
      <c r="XB46" s="39"/>
      <c r="XC46" s="39"/>
      <c r="XD46" s="39"/>
      <c r="XE46" s="39"/>
      <c r="XF46" s="39"/>
      <c r="XG46" s="39"/>
      <c r="XH46" s="39"/>
      <c r="XI46" s="39"/>
      <c r="XJ46" s="39"/>
      <c r="XK46" s="39"/>
      <c r="XL46" s="39"/>
      <c r="XM46" s="39"/>
      <c r="XN46" s="39"/>
      <c r="XO46" s="39"/>
      <c r="XP46" s="39"/>
      <c r="XQ46" s="39"/>
      <c r="XR46" s="39"/>
      <c r="XS46" s="39"/>
      <c r="XT46" s="39"/>
      <c r="XU46" s="39"/>
      <c r="XV46" s="39"/>
      <c r="XW46" s="39"/>
      <c r="XX46" s="39"/>
      <c r="XY46" s="39"/>
      <c r="XZ46" s="39"/>
      <c r="YA46" s="39"/>
      <c r="YB46" s="39"/>
      <c r="YC46" s="39"/>
      <c r="YD46" s="39"/>
      <c r="YE46" s="39"/>
      <c r="YF46" s="39"/>
      <c r="YG46" s="39"/>
      <c r="YH46" s="39"/>
      <c r="YI46" s="39"/>
      <c r="YJ46" s="39"/>
      <c r="YK46" s="39"/>
      <c r="YL46" s="39"/>
      <c r="YM46" s="39"/>
      <c r="YN46" s="39"/>
      <c r="YO46" s="39"/>
      <c r="YP46" s="39"/>
      <c r="YQ46" s="39"/>
      <c r="YR46" s="39"/>
      <c r="YS46" s="39"/>
      <c r="YT46" s="39"/>
      <c r="YU46" s="39"/>
      <c r="YV46" s="39"/>
      <c r="YW46" s="39"/>
      <c r="YX46" s="39"/>
      <c r="YY46" s="39"/>
      <c r="YZ46" s="39"/>
      <c r="ZA46" s="39"/>
      <c r="ZB46" s="39"/>
      <c r="ZC46" s="39"/>
      <c r="ZD46" s="39"/>
      <c r="ZE46" s="39"/>
      <c r="ZF46" s="39"/>
      <c r="ZG46" s="39"/>
      <c r="ZH46" s="39"/>
      <c r="ZI46" s="39"/>
      <c r="ZJ46" s="39"/>
      <c r="ZK46" s="39"/>
      <c r="ZL46" s="39"/>
      <c r="ZM46" s="39"/>
      <c r="ZN46" s="39"/>
      <c r="ZO46" s="39"/>
      <c r="ZP46" s="39"/>
      <c r="ZQ46" s="39"/>
      <c r="ZR46" s="39"/>
      <c r="ZS46" s="39"/>
      <c r="ZT46" s="39"/>
      <c r="ZU46" s="39"/>
      <c r="ZV46" s="39"/>
      <c r="ZW46" s="39"/>
      <c r="ZX46" s="39"/>
      <c r="ZY46" s="39"/>
      <c r="ZZ46" s="39"/>
      <c r="AAA46" s="39"/>
      <c r="AAB46" s="39"/>
      <c r="AAC46" s="39"/>
      <c r="AAD46" s="39"/>
      <c r="AAE46" s="39"/>
      <c r="AAF46" s="39"/>
      <c r="AAG46" s="39"/>
      <c r="AAH46" s="39"/>
      <c r="AAI46" s="39"/>
      <c r="AAJ46" s="39"/>
      <c r="AAK46" s="39"/>
      <c r="AAL46" s="39"/>
      <c r="AAM46" s="39"/>
      <c r="AAN46" s="39"/>
      <c r="AAO46" s="39"/>
      <c r="AAP46" s="39"/>
      <c r="AAQ46" s="39"/>
      <c r="AAR46" s="39"/>
      <c r="AAS46" s="39"/>
      <c r="AAT46" s="39"/>
      <c r="AAU46" s="39"/>
      <c r="AAV46" s="39"/>
      <c r="AAW46" s="39"/>
      <c r="AAX46" s="39"/>
      <c r="AAY46" s="39"/>
      <c r="AAZ46" s="39"/>
      <c r="ABA46" s="39"/>
      <c r="ABB46" s="39"/>
      <c r="ABC46" s="39"/>
      <c r="ABD46" s="39"/>
      <c r="ABE46" s="39"/>
      <c r="ABF46" s="39"/>
      <c r="ABG46" s="39"/>
      <c r="ABH46" s="39"/>
      <c r="ABI46" s="39"/>
      <c r="ABJ46" s="39"/>
      <c r="ABK46" s="39"/>
      <c r="ABL46" s="39"/>
      <c r="ABM46" s="39"/>
      <c r="ABN46" s="39"/>
      <c r="ABO46" s="39"/>
      <c r="ABP46" s="39"/>
      <c r="ABQ46" s="39"/>
      <c r="ABR46" s="39"/>
      <c r="ABS46" s="39"/>
      <c r="ABT46" s="39"/>
      <c r="ABU46" s="39"/>
      <c r="ABV46" s="39"/>
      <c r="ABW46" s="39"/>
      <c r="ABX46" s="39"/>
      <c r="ABY46" s="39"/>
      <c r="ABZ46" s="39"/>
      <c r="ACA46" s="39"/>
      <c r="ACB46" s="39"/>
      <c r="ACC46" s="39"/>
      <c r="ACD46" s="39"/>
      <c r="ACE46" s="39"/>
      <c r="ACF46" s="39"/>
      <c r="ACG46" s="39"/>
      <c r="ACH46" s="39"/>
      <c r="ACI46" s="39"/>
      <c r="ACJ46" s="39"/>
      <c r="ACK46" s="39"/>
      <c r="ACL46" s="39"/>
      <c r="ACM46" s="39"/>
      <c r="ACN46" s="39"/>
      <c r="ACO46" s="39"/>
      <c r="ACP46" s="39"/>
      <c r="ACQ46" s="39"/>
      <c r="ACR46" s="39"/>
      <c r="ACS46" s="39"/>
      <c r="ACT46" s="39"/>
      <c r="ACU46" s="39"/>
      <c r="ACV46" s="39"/>
      <c r="ACW46" s="39"/>
      <c r="ACX46" s="39"/>
      <c r="ACY46" s="39"/>
      <c r="ACZ46" s="39"/>
      <c r="ADA46" s="39"/>
      <c r="ADB46" s="39"/>
      <c r="ADC46" s="39"/>
      <c r="ADD46" s="39"/>
      <c r="ADE46" s="39"/>
      <c r="ADF46" s="39"/>
      <c r="ADG46" s="39"/>
      <c r="ADH46" s="39"/>
      <c r="ADI46" s="39"/>
      <c r="ADJ46" s="39"/>
      <c r="ADK46" s="39"/>
      <c r="ADL46" s="39"/>
      <c r="ADM46" s="39"/>
      <c r="ADN46" s="39"/>
      <c r="ADO46" s="39"/>
      <c r="ADP46" s="39"/>
      <c r="ADQ46" s="39"/>
      <c r="ADR46" s="39"/>
      <c r="ADS46" s="39"/>
      <c r="ADT46" s="39"/>
      <c r="ADU46" s="39"/>
      <c r="ADV46" s="39"/>
      <c r="ADW46" s="39"/>
      <c r="ADX46" s="39"/>
      <c r="ADY46" s="39"/>
      <c r="ADZ46" s="39"/>
      <c r="AEA46" s="39"/>
      <c r="AEB46" s="39"/>
      <c r="AEC46" s="39"/>
      <c r="AED46" s="39"/>
      <c r="AEE46" s="39"/>
      <c r="AEF46" s="39"/>
      <c r="AEG46" s="39"/>
      <c r="AEH46" s="39"/>
      <c r="AEI46" s="39"/>
      <c r="AEJ46" s="39"/>
      <c r="AEK46" s="39"/>
      <c r="AEL46" s="39"/>
      <c r="AEM46" s="39"/>
      <c r="AEN46" s="39"/>
      <c r="AEO46" s="39"/>
      <c r="AEP46" s="39"/>
      <c r="AEQ46" s="39"/>
      <c r="AER46" s="39"/>
      <c r="AES46" s="39"/>
      <c r="AET46" s="39"/>
      <c r="AEU46" s="39"/>
      <c r="AEV46" s="39"/>
      <c r="AEW46" s="39"/>
      <c r="AEX46" s="39"/>
      <c r="AEY46" s="39"/>
      <c r="AEZ46" s="39"/>
      <c r="AFA46" s="39"/>
      <c r="AFB46" s="39"/>
      <c r="AFC46" s="39"/>
      <c r="AFD46" s="39"/>
      <c r="AFE46" s="39"/>
      <c r="AFF46" s="39"/>
      <c r="AFG46" s="39"/>
      <c r="AFH46" s="39"/>
      <c r="AFI46" s="39"/>
      <c r="AFJ46" s="39"/>
      <c r="AFK46" s="39"/>
      <c r="AFL46" s="39"/>
      <c r="AFM46" s="39"/>
      <c r="AFN46" s="39"/>
      <c r="AFO46" s="39"/>
      <c r="AFP46" s="39"/>
      <c r="AFQ46" s="39"/>
      <c r="AFR46" s="39"/>
      <c r="AFS46" s="39"/>
      <c r="AFT46" s="39"/>
      <c r="AFU46" s="39"/>
      <c r="AFV46" s="39"/>
      <c r="AFW46" s="39"/>
      <c r="AFX46" s="39"/>
      <c r="AFY46" s="39"/>
      <c r="AFZ46" s="39"/>
      <c r="AGA46" s="39"/>
      <c r="AGB46" s="39"/>
      <c r="AGC46" s="39"/>
      <c r="AGD46" s="39"/>
      <c r="AGE46" s="39"/>
      <c r="AGF46" s="39"/>
      <c r="AGG46" s="39"/>
      <c r="AGH46" s="39"/>
      <c r="AGI46" s="39"/>
      <c r="AGJ46" s="39"/>
      <c r="AGK46" s="39"/>
      <c r="AGL46" s="39"/>
      <c r="AGM46" s="39"/>
      <c r="AGN46" s="39"/>
      <c r="AGO46" s="39"/>
      <c r="AGP46" s="39"/>
      <c r="AGQ46" s="39"/>
      <c r="AGR46" s="39"/>
      <c r="AGS46" s="39"/>
      <c r="AGT46" s="39"/>
      <c r="AGU46" s="39"/>
      <c r="AGV46" s="39"/>
      <c r="AGW46" s="39"/>
      <c r="AGX46" s="39"/>
      <c r="AGY46" s="39"/>
      <c r="AGZ46" s="39"/>
      <c r="AHA46" s="39"/>
      <c r="AHB46" s="39"/>
      <c r="AHC46" s="39"/>
      <c r="AHD46" s="39"/>
      <c r="AHE46" s="39"/>
      <c r="AHF46" s="39"/>
      <c r="AHG46" s="39"/>
      <c r="AHH46" s="39"/>
      <c r="AHI46" s="39"/>
      <c r="AHJ46" s="39"/>
      <c r="AHK46" s="39"/>
      <c r="AHL46" s="39"/>
      <c r="AHM46" s="39"/>
      <c r="AHN46" s="39"/>
      <c r="AHO46" s="39"/>
      <c r="AHP46" s="39"/>
      <c r="AHQ46" s="39"/>
      <c r="AHR46" s="39"/>
      <c r="AHS46" s="39"/>
      <c r="AHT46" s="39"/>
      <c r="AHU46" s="39"/>
      <c r="AHV46" s="39"/>
      <c r="AHW46" s="39"/>
      <c r="AHX46" s="39"/>
      <c r="AHY46" s="39"/>
      <c r="AHZ46" s="39"/>
      <c r="AIA46" s="39"/>
      <c r="AIB46" s="39"/>
      <c r="AIC46" s="39"/>
      <c r="AID46" s="39"/>
      <c r="AIE46" s="39"/>
      <c r="AIF46" s="39"/>
      <c r="AIG46" s="39"/>
      <c r="AIH46" s="39"/>
      <c r="AII46" s="39"/>
      <c r="AIJ46" s="39"/>
      <c r="AIK46" s="39"/>
      <c r="AIL46" s="39"/>
      <c r="AIM46" s="39"/>
      <c r="AIN46" s="39"/>
      <c r="AIO46" s="39"/>
      <c r="AIP46" s="39"/>
      <c r="AIQ46" s="39"/>
      <c r="AIR46" s="39"/>
      <c r="AIS46" s="39"/>
      <c r="AIT46" s="39"/>
      <c r="AIU46" s="39"/>
      <c r="AIV46" s="39"/>
      <c r="AIW46" s="39"/>
      <c r="AIX46" s="39"/>
      <c r="AIY46" s="39"/>
      <c r="AIZ46" s="39"/>
      <c r="AJA46" s="39"/>
      <c r="AJB46" s="39"/>
      <c r="AJC46" s="39"/>
      <c r="AJD46" s="39"/>
      <c r="AJE46" s="39"/>
      <c r="AJF46" s="39"/>
      <c r="AJG46" s="39"/>
      <c r="AJH46" s="39"/>
      <c r="AJI46" s="39"/>
      <c r="AJJ46" s="39"/>
      <c r="AJK46" s="39"/>
      <c r="AJL46" s="39"/>
      <c r="AJM46" s="39"/>
      <c r="AJN46" s="39"/>
      <c r="AJO46" s="39"/>
      <c r="AJP46" s="39"/>
      <c r="AJQ46" s="39"/>
      <c r="AJR46" s="39"/>
      <c r="AJS46" s="39"/>
      <c r="AJT46" s="39"/>
      <c r="AJU46" s="39"/>
      <c r="AJV46" s="39"/>
      <c r="AJW46" s="39"/>
      <c r="AJX46" s="39"/>
      <c r="AJY46" s="39"/>
      <c r="AJZ46" s="39"/>
      <c r="AKA46" s="39"/>
      <c r="AKB46" s="39"/>
      <c r="AKC46" s="39"/>
      <c r="AKD46" s="39"/>
      <c r="AKE46" s="39"/>
      <c r="AKF46" s="39"/>
      <c r="AKG46" s="39"/>
      <c r="AKH46" s="39"/>
      <c r="AKI46" s="39"/>
      <c r="AKJ46" s="39"/>
      <c r="AKK46" s="39"/>
      <c r="AKL46" s="39"/>
      <c r="AKM46" s="39"/>
      <c r="AKN46" s="39"/>
      <c r="AKO46" s="39"/>
      <c r="AKP46" s="39"/>
      <c r="AKQ46" s="39"/>
      <c r="AKR46" s="39"/>
      <c r="AKS46" s="39"/>
      <c r="AKT46" s="39"/>
      <c r="AKU46" s="39"/>
      <c r="AKV46" s="39"/>
      <c r="AKW46" s="39"/>
      <c r="AKX46" s="39"/>
      <c r="AKY46" s="39"/>
      <c r="AKZ46" s="39"/>
      <c r="ALA46" s="39"/>
      <c r="ALB46" s="39"/>
      <c r="ALC46" s="39"/>
      <c r="ALD46" s="39"/>
      <c r="ALE46" s="39"/>
      <c r="ALF46" s="39"/>
      <c r="ALG46" s="39"/>
      <c r="ALH46" s="39"/>
      <c r="ALI46" s="39"/>
      <c r="ALJ46" s="39"/>
      <c r="ALK46" s="39"/>
      <c r="ALL46" s="39"/>
      <c r="ALM46" s="39"/>
      <c r="ALN46" s="39"/>
      <c r="ALO46" s="39"/>
      <c r="ALP46" s="39"/>
    </row>
    <row r="47" spans="1:1004" s="42" customFormat="1" ht="13.5">
      <c r="A47" s="903"/>
      <c r="B47" s="904"/>
      <c r="C47" s="930" t="s">
        <v>288</v>
      </c>
      <c r="D47" s="906"/>
      <c r="E47" s="931">
        <v>0</v>
      </c>
      <c r="F47" s="936">
        <v>5</v>
      </c>
      <c r="G47" s="908">
        <f>E47*F47</f>
        <v>0</v>
      </c>
      <c r="H47" s="933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9"/>
      <c r="MM47" s="39"/>
      <c r="MN47" s="39"/>
      <c r="MO47" s="39"/>
      <c r="MP47" s="39"/>
      <c r="MQ47" s="39"/>
      <c r="MR47" s="39"/>
      <c r="MS47" s="39"/>
      <c r="MT47" s="39"/>
      <c r="MU47" s="39"/>
      <c r="MV47" s="39"/>
      <c r="MW47" s="39"/>
      <c r="MX47" s="39"/>
      <c r="MY47" s="39"/>
      <c r="MZ47" s="39"/>
      <c r="NA47" s="39"/>
      <c r="NB47" s="39"/>
      <c r="NC47" s="39"/>
      <c r="ND47" s="39"/>
      <c r="NE47" s="39"/>
      <c r="NF47" s="39"/>
      <c r="NG47" s="39"/>
      <c r="NH47" s="39"/>
      <c r="NI47" s="39"/>
      <c r="NJ47" s="39"/>
      <c r="NK47" s="39"/>
      <c r="NL47" s="39"/>
      <c r="NM47" s="39"/>
      <c r="NN47" s="39"/>
      <c r="NO47" s="39"/>
      <c r="NP47" s="39"/>
      <c r="NQ47" s="39"/>
      <c r="NR47" s="39"/>
      <c r="NS47" s="39"/>
      <c r="NT47" s="39"/>
      <c r="NU47" s="39"/>
      <c r="NV47" s="39"/>
      <c r="NW47" s="39"/>
      <c r="NX47" s="39"/>
      <c r="NY47" s="39"/>
      <c r="NZ47" s="39"/>
      <c r="OA47" s="39"/>
      <c r="OB47" s="39"/>
      <c r="OC47" s="39"/>
      <c r="OD47" s="39"/>
      <c r="OE47" s="39"/>
      <c r="OF47" s="39"/>
      <c r="OG47" s="39"/>
      <c r="OH47" s="39"/>
      <c r="OI47" s="39"/>
      <c r="OJ47" s="39"/>
      <c r="OK47" s="39"/>
      <c r="OL47" s="39"/>
      <c r="OM47" s="39"/>
      <c r="ON47" s="39"/>
      <c r="OO47" s="39"/>
      <c r="OP47" s="39"/>
      <c r="OQ47" s="39"/>
      <c r="OR47" s="39"/>
      <c r="OS47" s="39"/>
      <c r="OT47" s="39"/>
      <c r="OU47" s="39"/>
      <c r="OV47" s="39"/>
      <c r="OW47" s="39"/>
      <c r="OX47" s="39"/>
      <c r="OY47" s="39"/>
      <c r="OZ47" s="39"/>
      <c r="PA47" s="39"/>
      <c r="PB47" s="39"/>
      <c r="PC47" s="39"/>
      <c r="PD47" s="39"/>
      <c r="PE47" s="39"/>
      <c r="PF47" s="39"/>
      <c r="PG47" s="39"/>
      <c r="PH47" s="39"/>
      <c r="PI47" s="39"/>
      <c r="PJ47" s="39"/>
      <c r="PK47" s="39"/>
      <c r="PL47" s="39"/>
      <c r="PM47" s="39"/>
      <c r="PN47" s="39"/>
      <c r="PO47" s="39"/>
      <c r="PP47" s="39"/>
      <c r="PQ47" s="39"/>
      <c r="PR47" s="39"/>
      <c r="PS47" s="39"/>
      <c r="PT47" s="39"/>
      <c r="PU47" s="39"/>
      <c r="PV47" s="39"/>
      <c r="PW47" s="39"/>
      <c r="PX47" s="39"/>
      <c r="PY47" s="39"/>
      <c r="PZ47" s="39"/>
      <c r="QA47" s="39"/>
      <c r="QB47" s="39"/>
      <c r="QC47" s="39"/>
      <c r="QD47" s="39"/>
      <c r="QE47" s="39"/>
      <c r="QF47" s="39"/>
      <c r="QG47" s="39"/>
      <c r="QH47" s="39"/>
      <c r="QI47" s="39"/>
      <c r="QJ47" s="39"/>
      <c r="QK47" s="39"/>
      <c r="QL47" s="39"/>
      <c r="QM47" s="39"/>
      <c r="QN47" s="39"/>
      <c r="QO47" s="39"/>
      <c r="QP47" s="39"/>
      <c r="QQ47" s="39"/>
      <c r="QR47" s="39"/>
      <c r="QS47" s="39"/>
      <c r="QT47" s="39"/>
      <c r="QU47" s="39"/>
      <c r="QV47" s="39"/>
      <c r="QW47" s="39"/>
      <c r="QX47" s="39"/>
      <c r="QY47" s="39"/>
      <c r="QZ47" s="39"/>
      <c r="RA47" s="39"/>
      <c r="RB47" s="39"/>
      <c r="RC47" s="39"/>
      <c r="RD47" s="39"/>
      <c r="RE47" s="39"/>
      <c r="RF47" s="39"/>
      <c r="RG47" s="39"/>
      <c r="RH47" s="39"/>
      <c r="RI47" s="39"/>
      <c r="RJ47" s="39"/>
      <c r="RK47" s="39"/>
      <c r="RL47" s="39"/>
      <c r="RM47" s="39"/>
      <c r="RN47" s="39"/>
      <c r="RO47" s="39"/>
      <c r="RP47" s="39"/>
      <c r="RQ47" s="39"/>
      <c r="RR47" s="39"/>
      <c r="RS47" s="39"/>
      <c r="RT47" s="39"/>
      <c r="RU47" s="39"/>
      <c r="RV47" s="39"/>
      <c r="RW47" s="39"/>
      <c r="RX47" s="39"/>
      <c r="RY47" s="39"/>
      <c r="RZ47" s="39"/>
      <c r="SA47" s="39"/>
      <c r="SB47" s="39"/>
      <c r="SC47" s="39"/>
      <c r="SD47" s="39"/>
      <c r="SE47" s="39"/>
      <c r="SF47" s="39"/>
      <c r="SG47" s="39"/>
      <c r="SH47" s="39"/>
      <c r="SI47" s="39"/>
      <c r="SJ47" s="39"/>
      <c r="SK47" s="39"/>
      <c r="SL47" s="39"/>
      <c r="SM47" s="39"/>
      <c r="SN47" s="39"/>
      <c r="SO47" s="39"/>
      <c r="SP47" s="39"/>
      <c r="SQ47" s="39"/>
      <c r="SR47" s="39"/>
      <c r="SS47" s="39"/>
      <c r="ST47" s="39"/>
      <c r="SU47" s="39"/>
      <c r="SV47" s="39"/>
      <c r="SW47" s="39"/>
      <c r="SX47" s="39"/>
      <c r="SY47" s="39"/>
      <c r="SZ47" s="39"/>
      <c r="TA47" s="39"/>
      <c r="TB47" s="39"/>
      <c r="TC47" s="39"/>
      <c r="TD47" s="39"/>
      <c r="TE47" s="39"/>
      <c r="TF47" s="39"/>
      <c r="TG47" s="39"/>
      <c r="TH47" s="39"/>
      <c r="TI47" s="39"/>
      <c r="TJ47" s="39"/>
      <c r="TK47" s="39"/>
      <c r="TL47" s="39"/>
      <c r="TM47" s="39"/>
      <c r="TN47" s="39"/>
      <c r="TO47" s="39"/>
      <c r="TP47" s="39"/>
      <c r="TQ47" s="39"/>
      <c r="TR47" s="39"/>
      <c r="TS47" s="39"/>
      <c r="TT47" s="39"/>
      <c r="TU47" s="39"/>
      <c r="TV47" s="39"/>
      <c r="TW47" s="39"/>
      <c r="TX47" s="39"/>
      <c r="TY47" s="39"/>
      <c r="TZ47" s="39"/>
      <c r="UA47" s="39"/>
      <c r="UB47" s="39"/>
      <c r="UC47" s="39"/>
      <c r="UD47" s="39"/>
      <c r="UE47" s="39"/>
      <c r="UF47" s="39"/>
      <c r="UG47" s="39"/>
      <c r="UH47" s="39"/>
      <c r="UI47" s="39"/>
      <c r="UJ47" s="39"/>
      <c r="UK47" s="39"/>
      <c r="UL47" s="39"/>
      <c r="UM47" s="39"/>
      <c r="UN47" s="39"/>
      <c r="UO47" s="39"/>
      <c r="UP47" s="39"/>
      <c r="UQ47" s="39"/>
      <c r="UR47" s="39"/>
      <c r="US47" s="39"/>
      <c r="UT47" s="39"/>
      <c r="UU47" s="39"/>
      <c r="UV47" s="39"/>
      <c r="UW47" s="39"/>
      <c r="UX47" s="39"/>
      <c r="UY47" s="39"/>
      <c r="UZ47" s="39"/>
      <c r="VA47" s="39"/>
      <c r="VB47" s="39"/>
      <c r="VC47" s="39"/>
      <c r="VD47" s="39"/>
      <c r="VE47" s="39"/>
      <c r="VF47" s="39"/>
      <c r="VG47" s="39"/>
      <c r="VH47" s="39"/>
      <c r="VI47" s="39"/>
      <c r="VJ47" s="39"/>
      <c r="VK47" s="39"/>
      <c r="VL47" s="39"/>
      <c r="VM47" s="39"/>
      <c r="VN47" s="39"/>
      <c r="VO47" s="39"/>
      <c r="VP47" s="39"/>
      <c r="VQ47" s="39"/>
      <c r="VR47" s="39"/>
      <c r="VS47" s="39"/>
      <c r="VT47" s="39"/>
      <c r="VU47" s="39"/>
      <c r="VV47" s="39"/>
      <c r="VW47" s="39"/>
      <c r="VX47" s="39"/>
      <c r="VY47" s="39"/>
      <c r="VZ47" s="39"/>
      <c r="WA47" s="39"/>
      <c r="WB47" s="39"/>
      <c r="WC47" s="39"/>
      <c r="WD47" s="39"/>
      <c r="WE47" s="39"/>
      <c r="WF47" s="39"/>
      <c r="WG47" s="39"/>
      <c r="WH47" s="39"/>
      <c r="WI47" s="39"/>
      <c r="WJ47" s="39"/>
      <c r="WK47" s="39"/>
      <c r="WL47" s="39"/>
      <c r="WM47" s="39"/>
      <c r="WN47" s="39"/>
      <c r="WO47" s="39"/>
      <c r="WP47" s="39"/>
      <c r="WQ47" s="39"/>
      <c r="WR47" s="39"/>
      <c r="WS47" s="39"/>
      <c r="WT47" s="39"/>
      <c r="WU47" s="39"/>
      <c r="WV47" s="39"/>
      <c r="WW47" s="39"/>
      <c r="WX47" s="39"/>
      <c r="WY47" s="39"/>
      <c r="WZ47" s="39"/>
      <c r="XA47" s="39"/>
      <c r="XB47" s="39"/>
      <c r="XC47" s="39"/>
      <c r="XD47" s="39"/>
      <c r="XE47" s="39"/>
      <c r="XF47" s="39"/>
      <c r="XG47" s="39"/>
      <c r="XH47" s="39"/>
      <c r="XI47" s="39"/>
      <c r="XJ47" s="39"/>
      <c r="XK47" s="39"/>
      <c r="XL47" s="39"/>
      <c r="XM47" s="39"/>
      <c r="XN47" s="39"/>
      <c r="XO47" s="39"/>
      <c r="XP47" s="39"/>
      <c r="XQ47" s="39"/>
      <c r="XR47" s="39"/>
      <c r="XS47" s="39"/>
      <c r="XT47" s="39"/>
      <c r="XU47" s="39"/>
      <c r="XV47" s="39"/>
      <c r="XW47" s="39"/>
      <c r="XX47" s="39"/>
      <c r="XY47" s="39"/>
      <c r="XZ47" s="39"/>
      <c r="YA47" s="39"/>
      <c r="YB47" s="39"/>
      <c r="YC47" s="39"/>
      <c r="YD47" s="39"/>
      <c r="YE47" s="39"/>
      <c r="YF47" s="39"/>
      <c r="YG47" s="39"/>
      <c r="YH47" s="39"/>
      <c r="YI47" s="39"/>
      <c r="YJ47" s="39"/>
      <c r="YK47" s="39"/>
      <c r="YL47" s="39"/>
      <c r="YM47" s="39"/>
      <c r="YN47" s="39"/>
      <c r="YO47" s="39"/>
      <c r="YP47" s="39"/>
      <c r="YQ47" s="39"/>
      <c r="YR47" s="39"/>
      <c r="YS47" s="39"/>
      <c r="YT47" s="39"/>
      <c r="YU47" s="39"/>
      <c r="YV47" s="39"/>
      <c r="YW47" s="39"/>
      <c r="YX47" s="39"/>
      <c r="YY47" s="39"/>
      <c r="YZ47" s="39"/>
      <c r="ZA47" s="39"/>
      <c r="ZB47" s="39"/>
      <c r="ZC47" s="39"/>
      <c r="ZD47" s="39"/>
      <c r="ZE47" s="39"/>
      <c r="ZF47" s="39"/>
      <c r="ZG47" s="39"/>
      <c r="ZH47" s="39"/>
      <c r="ZI47" s="39"/>
      <c r="ZJ47" s="39"/>
      <c r="ZK47" s="39"/>
      <c r="ZL47" s="39"/>
      <c r="ZM47" s="39"/>
      <c r="ZN47" s="39"/>
      <c r="ZO47" s="39"/>
      <c r="ZP47" s="39"/>
      <c r="ZQ47" s="39"/>
      <c r="ZR47" s="39"/>
      <c r="ZS47" s="39"/>
      <c r="ZT47" s="39"/>
      <c r="ZU47" s="39"/>
      <c r="ZV47" s="39"/>
      <c r="ZW47" s="39"/>
      <c r="ZX47" s="39"/>
      <c r="ZY47" s="39"/>
      <c r="ZZ47" s="39"/>
      <c r="AAA47" s="39"/>
      <c r="AAB47" s="39"/>
      <c r="AAC47" s="39"/>
      <c r="AAD47" s="39"/>
      <c r="AAE47" s="39"/>
      <c r="AAF47" s="39"/>
      <c r="AAG47" s="39"/>
      <c r="AAH47" s="39"/>
      <c r="AAI47" s="39"/>
      <c r="AAJ47" s="39"/>
      <c r="AAK47" s="39"/>
      <c r="AAL47" s="39"/>
      <c r="AAM47" s="39"/>
      <c r="AAN47" s="39"/>
      <c r="AAO47" s="39"/>
      <c r="AAP47" s="39"/>
      <c r="AAQ47" s="39"/>
      <c r="AAR47" s="39"/>
      <c r="AAS47" s="39"/>
      <c r="AAT47" s="39"/>
      <c r="AAU47" s="39"/>
      <c r="AAV47" s="39"/>
      <c r="AAW47" s="39"/>
      <c r="AAX47" s="39"/>
      <c r="AAY47" s="39"/>
      <c r="AAZ47" s="39"/>
      <c r="ABA47" s="39"/>
      <c r="ABB47" s="39"/>
      <c r="ABC47" s="39"/>
      <c r="ABD47" s="39"/>
      <c r="ABE47" s="39"/>
      <c r="ABF47" s="39"/>
      <c r="ABG47" s="39"/>
      <c r="ABH47" s="39"/>
      <c r="ABI47" s="39"/>
      <c r="ABJ47" s="39"/>
      <c r="ABK47" s="39"/>
      <c r="ABL47" s="39"/>
      <c r="ABM47" s="39"/>
      <c r="ABN47" s="39"/>
      <c r="ABO47" s="39"/>
      <c r="ABP47" s="39"/>
      <c r="ABQ47" s="39"/>
      <c r="ABR47" s="39"/>
      <c r="ABS47" s="39"/>
      <c r="ABT47" s="39"/>
      <c r="ABU47" s="39"/>
      <c r="ABV47" s="39"/>
      <c r="ABW47" s="39"/>
      <c r="ABX47" s="39"/>
      <c r="ABY47" s="39"/>
      <c r="ABZ47" s="39"/>
      <c r="ACA47" s="39"/>
      <c r="ACB47" s="39"/>
      <c r="ACC47" s="39"/>
      <c r="ACD47" s="39"/>
      <c r="ACE47" s="39"/>
      <c r="ACF47" s="39"/>
      <c r="ACG47" s="39"/>
      <c r="ACH47" s="39"/>
      <c r="ACI47" s="39"/>
      <c r="ACJ47" s="39"/>
      <c r="ACK47" s="39"/>
      <c r="ACL47" s="39"/>
      <c r="ACM47" s="39"/>
      <c r="ACN47" s="39"/>
      <c r="ACO47" s="39"/>
      <c r="ACP47" s="39"/>
      <c r="ACQ47" s="39"/>
      <c r="ACR47" s="39"/>
      <c r="ACS47" s="39"/>
      <c r="ACT47" s="39"/>
      <c r="ACU47" s="39"/>
      <c r="ACV47" s="39"/>
      <c r="ACW47" s="39"/>
      <c r="ACX47" s="39"/>
      <c r="ACY47" s="39"/>
      <c r="ACZ47" s="39"/>
      <c r="ADA47" s="39"/>
      <c r="ADB47" s="39"/>
      <c r="ADC47" s="39"/>
      <c r="ADD47" s="39"/>
      <c r="ADE47" s="39"/>
      <c r="ADF47" s="39"/>
      <c r="ADG47" s="39"/>
      <c r="ADH47" s="39"/>
      <c r="ADI47" s="39"/>
      <c r="ADJ47" s="39"/>
      <c r="ADK47" s="39"/>
      <c r="ADL47" s="39"/>
      <c r="ADM47" s="39"/>
      <c r="ADN47" s="39"/>
      <c r="ADO47" s="39"/>
      <c r="ADP47" s="39"/>
      <c r="ADQ47" s="39"/>
      <c r="ADR47" s="39"/>
      <c r="ADS47" s="39"/>
      <c r="ADT47" s="39"/>
      <c r="ADU47" s="39"/>
      <c r="ADV47" s="39"/>
      <c r="ADW47" s="39"/>
      <c r="ADX47" s="39"/>
      <c r="ADY47" s="39"/>
      <c r="ADZ47" s="39"/>
      <c r="AEA47" s="39"/>
      <c r="AEB47" s="39"/>
      <c r="AEC47" s="39"/>
      <c r="AED47" s="39"/>
      <c r="AEE47" s="39"/>
      <c r="AEF47" s="39"/>
      <c r="AEG47" s="39"/>
      <c r="AEH47" s="39"/>
      <c r="AEI47" s="39"/>
      <c r="AEJ47" s="39"/>
      <c r="AEK47" s="39"/>
      <c r="AEL47" s="39"/>
      <c r="AEM47" s="39"/>
      <c r="AEN47" s="39"/>
      <c r="AEO47" s="39"/>
      <c r="AEP47" s="39"/>
      <c r="AEQ47" s="39"/>
      <c r="AER47" s="39"/>
      <c r="AES47" s="39"/>
      <c r="AET47" s="39"/>
      <c r="AEU47" s="39"/>
      <c r="AEV47" s="39"/>
      <c r="AEW47" s="39"/>
      <c r="AEX47" s="39"/>
      <c r="AEY47" s="39"/>
      <c r="AEZ47" s="39"/>
      <c r="AFA47" s="39"/>
      <c r="AFB47" s="39"/>
      <c r="AFC47" s="39"/>
      <c r="AFD47" s="39"/>
      <c r="AFE47" s="39"/>
      <c r="AFF47" s="39"/>
      <c r="AFG47" s="39"/>
      <c r="AFH47" s="39"/>
      <c r="AFI47" s="39"/>
      <c r="AFJ47" s="39"/>
      <c r="AFK47" s="39"/>
      <c r="AFL47" s="39"/>
      <c r="AFM47" s="39"/>
      <c r="AFN47" s="39"/>
      <c r="AFO47" s="39"/>
      <c r="AFP47" s="39"/>
      <c r="AFQ47" s="39"/>
      <c r="AFR47" s="39"/>
      <c r="AFS47" s="39"/>
      <c r="AFT47" s="39"/>
      <c r="AFU47" s="39"/>
      <c r="AFV47" s="39"/>
      <c r="AFW47" s="39"/>
      <c r="AFX47" s="39"/>
      <c r="AFY47" s="39"/>
      <c r="AFZ47" s="39"/>
      <c r="AGA47" s="39"/>
      <c r="AGB47" s="39"/>
      <c r="AGC47" s="39"/>
      <c r="AGD47" s="39"/>
      <c r="AGE47" s="39"/>
      <c r="AGF47" s="39"/>
      <c r="AGG47" s="39"/>
      <c r="AGH47" s="39"/>
      <c r="AGI47" s="39"/>
      <c r="AGJ47" s="39"/>
      <c r="AGK47" s="39"/>
      <c r="AGL47" s="39"/>
      <c r="AGM47" s="39"/>
      <c r="AGN47" s="39"/>
      <c r="AGO47" s="39"/>
      <c r="AGP47" s="39"/>
      <c r="AGQ47" s="39"/>
      <c r="AGR47" s="39"/>
      <c r="AGS47" s="39"/>
      <c r="AGT47" s="39"/>
      <c r="AGU47" s="39"/>
      <c r="AGV47" s="39"/>
      <c r="AGW47" s="39"/>
      <c r="AGX47" s="39"/>
      <c r="AGY47" s="39"/>
      <c r="AGZ47" s="39"/>
      <c r="AHA47" s="39"/>
      <c r="AHB47" s="39"/>
      <c r="AHC47" s="39"/>
      <c r="AHD47" s="39"/>
      <c r="AHE47" s="39"/>
      <c r="AHF47" s="39"/>
      <c r="AHG47" s="39"/>
      <c r="AHH47" s="39"/>
      <c r="AHI47" s="39"/>
      <c r="AHJ47" s="39"/>
      <c r="AHK47" s="39"/>
      <c r="AHL47" s="39"/>
      <c r="AHM47" s="39"/>
      <c r="AHN47" s="39"/>
      <c r="AHO47" s="39"/>
      <c r="AHP47" s="39"/>
      <c r="AHQ47" s="39"/>
      <c r="AHR47" s="39"/>
      <c r="AHS47" s="39"/>
      <c r="AHT47" s="39"/>
      <c r="AHU47" s="39"/>
      <c r="AHV47" s="39"/>
      <c r="AHW47" s="39"/>
      <c r="AHX47" s="39"/>
      <c r="AHY47" s="39"/>
      <c r="AHZ47" s="39"/>
      <c r="AIA47" s="39"/>
      <c r="AIB47" s="39"/>
      <c r="AIC47" s="39"/>
      <c r="AID47" s="39"/>
      <c r="AIE47" s="39"/>
      <c r="AIF47" s="39"/>
      <c r="AIG47" s="39"/>
      <c r="AIH47" s="39"/>
      <c r="AII47" s="39"/>
      <c r="AIJ47" s="39"/>
      <c r="AIK47" s="39"/>
      <c r="AIL47" s="39"/>
      <c r="AIM47" s="39"/>
      <c r="AIN47" s="39"/>
      <c r="AIO47" s="39"/>
      <c r="AIP47" s="39"/>
      <c r="AIQ47" s="39"/>
      <c r="AIR47" s="39"/>
      <c r="AIS47" s="39"/>
      <c r="AIT47" s="39"/>
      <c r="AIU47" s="39"/>
      <c r="AIV47" s="39"/>
      <c r="AIW47" s="39"/>
      <c r="AIX47" s="39"/>
      <c r="AIY47" s="39"/>
      <c r="AIZ47" s="39"/>
      <c r="AJA47" s="39"/>
      <c r="AJB47" s="39"/>
      <c r="AJC47" s="39"/>
      <c r="AJD47" s="39"/>
      <c r="AJE47" s="39"/>
      <c r="AJF47" s="39"/>
      <c r="AJG47" s="39"/>
      <c r="AJH47" s="39"/>
      <c r="AJI47" s="39"/>
      <c r="AJJ47" s="39"/>
      <c r="AJK47" s="39"/>
      <c r="AJL47" s="39"/>
      <c r="AJM47" s="39"/>
      <c r="AJN47" s="39"/>
      <c r="AJO47" s="39"/>
      <c r="AJP47" s="39"/>
      <c r="AJQ47" s="39"/>
      <c r="AJR47" s="39"/>
      <c r="AJS47" s="39"/>
      <c r="AJT47" s="39"/>
      <c r="AJU47" s="39"/>
      <c r="AJV47" s="39"/>
      <c r="AJW47" s="39"/>
      <c r="AJX47" s="39"/>
      <c r="AJY47" s="39"/>
      <c r="AJZ47" s="39"/>
      <c r="AKA47" s="39"/>
      <c r="AKB47" s="39"/>
      <c r="AKC47" s="39"/>
      <c r="AKD47" s="39"/>
      <c r="AKE47" s="39"/>
      <c r="AKF47" s="39"/>
      <c r="AKG47" s="39"/>
      <c r="AKH47" s="39"/>
      <c r="AKI47" s="39"/>
      <c r="AKJ47" s="39"/>
      <c r="AKK47" s="39"/>
      <c r="AKL47" s="39"/>
      <c r="AKM47" s="39"/>
      <c r="AKN47" s="39"/>
      <c r="AKO47" s="39"/>
      <c r="AKP47" s="39"/>
      <c r="AKQ47" s="39"/>
      <c r="AKR47" s="39"/>
      <c r="AKS47" s="39"/>
      <c r="AKT47" s="39"/>
      <c r="AKU47" s="39"/>
      <c r="AKV47" s="39"/>
      <c r="AKW47" s="39"/>
      <c r="AKX47" s="39"/>
      <c r="AKY47" s="39"/>
      <c r="AKZ47" s="39"/>
      <c r="ALA47" s="39"/>
      <c r="ALB47" s="39"/>
      <c r="ALC47" s="39"/>
      <c r="ALD47" s="39"/>
      <c r="ALE47" s="39"/>
      <c r="ALF47" s="39"/>
      <c r="ALG47" s="39"/>
      <c r="ALH47" s="39"/>
      <c r="ALI47" s="39"/>
      <c r="ALJ47" s="39"/>
      <c r="ALK47" s="39"/>
      <c r="ALL47" s="39"/>
      <c r="ALM47" s="39"/>
      <c r="ALN47" s="39"/>
      <c r="ALO47" s="39"/>
      <c r="ALP47" s="39"/>
    </row>
    <row r="48" spans="1:1004" s="102" customFormat="1" ht="13.5">
      <c r="A48" s="903"/>
      <c r="B48" s="904"/>
      <c r="C48" s="930" t="s">
        <v>282</v>
      </c>
      <c r="D48" s="906"/>
      <c r="E48" s="931">
        <v>1</v>
      </c>
      <c r="F48" s="936">
        <v>5</v>
      </c>
      <c r="G48" s="908">
        <f>E48*F48</f>
        <v>5</v>
      </c>
      <c r="H48" s="933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9"/>
      <c r="MM48" s="39"/>
      <c r="MN48" s="39"/>
      <c r="MO48" s="39"/>
      <c r="MP48" s="39"/>
      <c r="MQ48" s="39"/>
      <c r="MR48" s="39"/>
      <c r="MS48" s="39"/>
      <c r="MT48" s="39"/>
      <c r="MU48" s="39"/>
      <c r="MV48" s="39"/>
      <c r="MW48" s="39"/>
      <c r="MX48" s="39"/>
      <c r="MY48" s="39"/>
      <c r="MZ48" s="39"/>
      <c r="NA48" s="39"/>
      <c r="NB48" s="39"/>
      <c r="NC48" s="39"/>
      <c r="ND48" s="39"/>
      <c r="NE48" s="39"/>
      <c r="NF48" s="39"/>
      <c r="NG48" s="39"/>
      <c r="NH48" s="39"/>
      <c r="NI48" s="39"/>
      <c r="NJ48" s="39"/>
      <c r="NK48" s="39"/>
      <c r="NL48" s="39"/>
      <c r="NM48" s="39"/>
      <c r="NN48" s="39"/>
      <c r="NO48" s="39"/>
      <c r="NP48" s="39"/>
      <c r="NQ48" s="39"/>
      <c r="NR48" s="39"/>
      <c r="NS48" s="39"/>
      <c r="NT48" s="39"/>
      <c r="NU48" s="39"/>
      <c r="NV48" s="39"/>
      <c r="NW48" s="39"/>
      <c r="NX48" s="39"/>
      <c r="NY48" s="39"/>
      <c r="NZ48" s="39"/>
      <c r="OA48" s="39"/>
      <c r="OB48" s="39"/>
      <c r="OC48" s="39"/>
      <c r="OD48" s="39"/>
      <c r="OE48" s="39"/>
      <c r="OF48" s="39"/>
      <c r="OG48" s="39"/>
      <c r="OH48" s="39"/>
      <c r="OI48" s="39"/>
      <c r="OJ48" s="39"/>
      <c r="OK48" s="39"/>
      <c r="OL48" s="39"/>
      <c r="OM48" s="39"/>
      <c r="ON48" s="39"/>
      <c r="OO48" s="39"/>
      <c r="OP48" s="39"/>
      <c r="OQ48" s="39"/>
      <c r="OR48" s="39"/>
      <c r="OS48" s="39"/>
      <c r="OT48" s="39"/>
      <c r="OU48" s="39"/>
      <c r="OV48" s="39"/>
      <c r="OW48" s="39"/>
      <c r="OX48" s="39"/>
      <c r="OY48" s="39"/>
      <c r="OZ48" s="39"/>
      <c r="PA48" s="39"/>
      <c r="PB48" s="39"/>
      <c r="PC48" s="39"/>
      <c r="PD48" s="39"/>
      <c r="PE48" s="39"/>
      <c r="PF48" s="39"/>
      <c r="PG48" s="39"/>
      <c r="PH48" s="39"/>
      <c r="PI48" s="39"/>
      <c r="PJ48" s="39"/>
      <c r="PK48" s="39"/>
      <c r="PL48" s="39"/>
      <c r="PM48" s="39"/>
      <c r="PN48" s="39"/>
      <c r="PO48" s="39"/>
      <c r="PP48" s="39"/>
      <c r="PQ48" s="39"/>
      <c r="PR48" s="39"/>
      <c r="PS48" s="39"/>
      <c r="PT48" s="39"/>
      <c r="PU48" s="39"/>
      <c r="PV48" s="39"/>
      <c r="PW48" s="39"/>
      <c r="PX48" s="39"/>
      <c r="PY48" s="39"/>
      <c r="PZ48" s="39"/>
      <c r="QA48" s="39"/>
      <c r="QB48" s="39"/>
      <c r="QC48" s="39"/>
      <c r="QD48" s="39"/>
      <c r="QE48" s="39"/>
      <c r="QF48" s="39"/>
      <c r="QG48" s="39"/>
      <c r="QH48" s="39"/>
      <c r="QI48" s="39"/>
      <c r="QJ48" s="39"/>
      <c r="QK48" s="39"/>
      <c r="QL48" s="39"/>
      <c r="QM48" s="39"/>
      <c r="QN48" s="39"/>
      <c r="QO48" s="39"/>
      <c r="QP48" s="39"/>
      <c r="QQ48" s="39"/>
      <c r="QR48" s="39"/>
      <c r="QS48" s="39"/>
      <c r="QT48" s="39"/>
      <c r="QU48" s="39"/>
      <c r="QV48" s="39"/>
      <c r="QW48" s="39"/>
      <c r="QX48" s="39"/>
      <c r="QY48" s="39"/>
      <c r="QZ48" s="39"/>
      <c r="RA48" s="39"/>
      <c r="RB48" s="39"/>
      <c r="RC48" s="39"/>
      <c r="RD48" s="39"/>
      <c r="RE48" s="39"/>
      <c r="RF48" s="39"/>
      <c r="RG48" s="39"/>
      <c r="RH48" s="39"/>
      <c r="RI48" s="39"/>
      <c r="RJ48" s="39"/>
      <c r="RK48" s="39"/>
      <c r="RL48" s="39"/>
      <c r="RM48" s="39"/>
      <c r="RN48" s="39"/>
      <c r="RO48" s="39"/>
      <c r="RP48" s="39"/>
      <c r="RQ48" s="39"/>
      <c r="RR48" s="39"/>
      <c r="RS48" s="39"/>
      <c r="RT48" s="39"/>
      <c r="RU48" s="39"/>
      <c r="RV48" s="39"/>
      <c r="RW48" s="39"/>
      <c r="RX48" s="39"/>
      <c r="RY48" s="39"/>
      <c r="RZ48" s="39"/>
      <c r="SA48" s="39"/>
      <c r="SB48" s="39"/>
      <c r="SC48" s="39"/>
      <c r="SD48" s="39"/>
      <c r="SE48" s="39"/>
      <c r="SF48" s="39"/>
      <c r="SG48" s="39"/>
      <c r="SH48" s="39"/>
      <c r="SI48" s="39"/>
      <c r="SJ48" s="39"/>
      <c r="SK48" s="39"/>
      <c r="SL48" s="39"/>
      <c r="SM48" s="39"/>
      <c r="SN48" s="39"/>
      <c r="SO48" s="39"/>
      <c r="SP48" s="39"/>
      <c r="SQ48" s="39"/>
      <c r="SR48" s="39"/>
      <c r="SS48" s="39"/>
      <c r="ST48" s="39"/>
      <c r="SU48" s="39"/>
      <c r="SV48" s="39"/>
      <c r="SW48" s="39"/>
      <c r="SX48" s="39"/>
      <c r="SY48" s="39"/>
      <c r="SZ48" s="39"/>
      <c r="TA48" s="39"/>
      <c r="TB48" s="39"/>
      <c r="TC48" s="39"/>
      <c r="TD48" s="39"/>
      <c r="TE48" s="39"/>
      <c r="TF48" s="39"/>
      <c r="TG48" s="39"/>
      <c r="TH48" s="39"/>
      <c r="TI48" s="39"/>
      <c r="TJ48" s="39"/>
      <c r="TK48" s="39"/>
      <c r="TL48" s="39"/>
      <c r="TM48" s="39"/>
      <c r="TN48" s="39"/>
      <c r="TO48" s="39"/>
      <c r="TP48" s="39"/>
      <c r="TQ48" s="39"/>
      <c r="TR48" s="39"/>
      <c r="TS48" s="39"/>
      <c r="TT48" s="39"/>
      <c r="TU48" s="39"/>
      <c r="TV48" s="39"/>
      <c r="TW48" s="39"/>
      <c r="TX48" s="39"/>
      <c r="TY48" s="39"/>
      <c r="TZ48" s="39"/>
      <c r="UA48" s="39"/>
      <c r="UB48" s="39"/>
      <c r="UC48" s="39"/>
      <c r="UD48" s="39"/>
      <c r="UE48" s="39"/>
      <c r="UF48" s="39"/>
      <c r="UG48" s="39"/>
      <c r="UH48" s="39"/>
      <c r="UI48" s="39"/>
      <c r="UJ48" s="39"/>
      <c r="UK48" s="39"/>
      <c r="UL48" s="39"/>
      <c r="UM48" s="39"/>
      <c r="UN48" s="39"/>
      <c r="UO48" s="39"/>
      <c r="UP48" s="39"/>
      <c r="UQ48" s="39"/>
      <c r="UR48" s="39"/>
      <c r="US48" s="39"/>
      <c r="UT48" s="39"/>
      <c r="UU48" s="39"/>
      <c r="UV48" s="39"/>
      <c r="UW48" s="39"/>
      <c r="UX48" s="39"/>
      <c r="UY48" s="39"/>
      <c r="UZ48" s="39"/>
      <c r="VA48" s="39"/>
      <c r="VB48" s="39"/>
      <c r="VC48" s="39"/>
      <c r="VD48" s="39"/>
      <c r="VE48" s="39"/>
      <c r="VF48" s="39"/>
      <c r="VG48" s="39"/>
      <c r="VH48" s="39"/>
      <c r="VI48" s="39"/>
      <c r="VJ48" s="39"/>
      <c r="VK48" s="39"/>
      <c r="VL48" s="39"/>
      <c r="VM48" s="39"/>
      <c r="VN48" s="39"/>
      <c r="VO48" s="39"/>
      <c r="VP48" s="39"/>
      <c r="VQ48" s="39"/>
      <c r="VR48" s="39"/>
      <c r="VS48" s="39"/>
      <c r="VT48" s="39"/>
      <c r="VU48" s="39"/>
      <c r="VV48" s="39"/>
      <c r="VW48" s="39"/>
      <c r="VX48" s="39"/>
      <c r="VY48" s="39"/>
      <c r="VZ48" s="39"/>
      <c r="WA48" s="39"/>
      <c r="WB48" s="39"/>
      <c r="WC48" s="39"/>
      <c r="WD48" s="39"/>
      <c r="WE48" s="39"/>
      <c r="WF48" s="39"/>
      <c r="WG48" s="39"/>
      <c r="WH48" s="39"/>
      <c r="WI48" s="39"/>
      <c r="WJ48" s="39"/>
      <c r="WK48" s="39"/>
      <c r="WL48" s="39"/>
      <c r="WM48" s="39"/>
      <c r="WN48" s="39"/>
      <c r="WO48" s="39"/>
      <c r="WP48" s="39"/>
      <c r="WQ48" s="39"/>
      <c r="WR48" s="39"/>
      <c r="WS48" s="39"/>
      <c r="WT48" s="39"/>
      <c r="WU48" s="39"/>
      <c r="WV48" s="39"/>
      <c r="WW48" s="39"/>
      <c r="WX48" s="39"/>
      <c r="WY48" s="39"/>
      <c r="WZ48" s="39"/>
      <c r="XA48" s="39"/>
      <c r="XB48" s="39"/>
      <c r="XC48" s="39"/>
      <c r="XD48" s="39"/>
      <c r="XE48" s="39"/>
      <c r="XF48" s="39"/>
      <c r="XG48" s="39"/>
      <c r="XH48" s="39"/>
      <c r="XI48" s="39"/>
      <c r="XJ48" s="39"/>
      <c r="XK48" s="39"/>
      <c r="XL48" s="39"/>
      <c r="XM48" s="39"/>
      <c r="XN48" s="39"/>
      <c r="XO48" s="39"/>
      <c r="XP48" s="39"/>
      <c r="XQ48" s="39"/>
      <c r="XR48" s="39"/>
      <c r="XS48" s="39"/>
      <c r="XT48" s="39"/>
      <c r="XU48" s="39"/>
      <c r="XV48" s="39"/>
      <c r="XW48" s="39"/>
      <c r="XX48" s="39"/>
      <c r="XY48" s="39"/>
      <c r="XZ48" s="39"/>
      <c r="YA48" s="39"/>
      <c r="YB48" s="39"/>
      <c r="YC48" s="39"/>
      <c r="YD48" s="39"/>
      <c r="YE48" s="39"/>
      <c r="YF48" s="39"/>
      <c r="YG48" s="39"/>
      <c r="YH48" s="39"/>
      <c r="YI48" s="39"/>
      <c r="YJ48" s="39"/>
      <c r="YK48" s="39"/>
      <c r="YL48" s="39"/>
      <c r="YM48" s="39"/>
      <c r="YN48" s="39"/>
      <c r="YO48" s="39"/>
      <c r="YP48" s="39"/>
      <c r="YQ48" s="39"/>
      <c r="YR48" s="39"/>
      <c r="YS48" s="39"/>
      <c r="YT48" s="39"/>
      <c r="YU48" s="39"/>
      <c r="YV48" s="39"/>
      <c r="YW48" s="39"/>
      <c r="YX48" s="39"/>
      <c r="YY48" s="39"/>
      <c r="YZ48" s="39"/>
      <c r="ZA48" s="39"/>
      <c r="ZB48" s="39"/>
      <c r="ZC48" s="39"/>
      <c r="ZD48" s="39"/>
      <c r="ZE48" s="39"/>
      <c r="ZF48" s="39"/>
      <c r="ZG48" s="39"/>
      <c r="ZH48" s="39"/>
      <c r="ZI48" s="39"/>
      <c r="ZJ48" s="39"/>
      <c r="ZK48" s="39"/>
      <c r="ZL48" s="39"/>
      <c r="ZM48" s="39"/>
      <c r="ZN48" s="39"/>
      <c r="ZO48" s="39"/>
      <c r="ZP48" s="39"/>
      <c r="ZQ48" s="39"/>
      <c r="ZR48" s="39"/>
      <c r="ZS48" s="39"/>
      <c r="ZT48" s="39"/>
      <c r="ZU48" s="39"/>
      <c r="ZV48" s="39"/>
      <c r="ZW48" s="39"/>
      <c r="ZX48" s="39"/>
      <c r="ZY48" s="39"/>
      <c r="ZZ48" s="39"/>
      <c r="AAA48" s="39"/>
      <c r="AAB48" s="39"/>
      <c r="AAC48" s="39"/>
      <c r="AAD48" s="39"/>
      <c r="AAE48" s="39"/>
      <c r="AAF48" s="39"/>
      <c r="AAG48" s="39"/>
      <c r="AAH48" s="39"/>
      <c r="AAI48" s="39"/>
      <c r="AAJ48" s="39"/>
      <c r="AAK48" s="39"/>
      <c r="AAL48" s="39"/>
      <c r="AAM48" s="39"/>
      <c r="AAN48" s="39"/>
      <c r="AAO48" s="39"/>
      <c r="AAP48" s="39"/>
      <c r="AAQ48" s="39"/>
      <c r="AAR48" s="39"/>
      <c r="AAS48" s="39"/>
      <c r="AAT48" s="39"/>
      <c r="AAU48" s="39"/>
      <c r="AAV48" s="39"/>
      <c r="AAW48" s="39"/>
      <c r="AAX48" s="39"/>
      <c r="AAY48" s="39"/>
      <c r="AAZ48" s="39"/>
      <c r="ABA48" s="39"/>
      <c r="ABB48" s="39"/>
      <c r="ABC48" s="39"/>
      <c r="ABD48" s="39"/>
      <c r="ABE48" s="39"/>
      <c r="ABF48" s="39"/>
      <c r="ABG48" s="39"/>
      <c r="ABH48" s="39"/>
      <c r="ABI48" s="39"/>
      <c r="ABJ48" s="39"/>
      <c r="ABK48" s="39"/>
      <c r="ABL48" s="39"/>
      <c r="ABM48" s="39"/>
      <c r="ABN48" s="39"/>
      <c r="ABO48" s="39"/>
      <c r="ABP48" s="39"/>
      <c r="ABQ48" s="39"/>
      <c r="ABR48" s="39"/>
      <c r="ABS48" s="39"/>
      <c r="ABT48" s="39"/>
      <c r="ABU48" s="39"/>
      <c r="ABV48" s="39"/>
      <c r="ABW48" s="39"/>
      <c r="ABX48" s="39"/>
      <c r="ABY48" s="39"/>
      <c r="ABZ48" s="39"/>
      <c r="ACA48" s="39"/>
      <c r="ACB48" s="39"/>
      <c r="ACC48" s="39"/>
      <c r="ACD48" s="39"/>
      <c r="ACE48" s="39"/>
      <c r="ACF48" s="39"/>
      <c r="ACG48" s="39"/>
      <c r="ACH48" s="39"/>
      <c r="ACI48" s="39"/>
      <c r="ACJ48" s="39"/>
      <c r="ACK48" s="39"/>
      <c r="ACL48" s="39"/>
      <c r="ACM48" s="39"/>
      <c r="ACN48" s="39"/>
      <c r="ACO48" s="39"/>
      <c r="ACP48" s="39"/>
      <c r="ACQ48" s="39"/>
      <c r="ACR48" s="39"/>
      <c r="ACS48" s="39"/>
      <c r="ACT48" s="39"/>
      <c r="ACU48" s="39"/>
      <c r="ACV48" s="39"/>
      <c r="ACW48" s="39"/>
      <c r="ACX48" s="39"/>
      <c r="ACY48" s="39"/>
      <c r="ACZ48" s="39"/>
      <c r="ADA48" s="39"/>
      <c r="ADB48" s="39"/>
      <c r="ADC48" s="39"/>
      <c r="ADD48" s="39"/>
      <c r="ADE48" s="39"/>
      <c r="ADF48" s="39"/>
      <c r="ADG48" s="39"/>
      <c r="ADH48" s="39"/>
      <c r="ADI48" s="39"/>
      <c r="ADJ48" s="39"/>
      <c r="ADK48" s="39"/>
      <c r="ADL48" s="39"/>
      <c r="ADM48" s="39"/>
      <c r="ADN48" s="39"/>
      <c r="ADO48" s="39"/>
      <c r="ADP48" s="39"/>
      <c r="ADQ48" s="39"/>
      <c r="ADR48" s="39"/>
      <c r="ADS48" s="39"/>
      <c r="ADT48" s="39"/>
      <c r="ADU48" s="39"/>
      <c r="ADV48" s="39"/>
      <c r="ADW48" s="39"/>
      <c r="ADX48" s="39"/>
      <c r="ADY48" s="39"/>
      <c r="ADZ48" s="39"/>
      <c r="AEA48" s="39"/>
      <c r="AEB48" s="39"/>
      <c r="AEC48" s="39"/>
      <c r="AED48" s="39"/>
      <c r="AEE48" s="39"/>
      <c r="AEF48" s="39"/>
      <c r="AEG48" s="39"/>
      <c r="AEH48" s="39"/>
      <c r="AEI48" s="39"/>
      <c r="AEJ48" s="39"/>
      <c r="AEK48" s="39"/>
      <c r="AEL48" s="39"/>
      <c r="AEM48" s="39"/>
      <c r="AEN48" s="39"/>
      <c r="AEO48" s="39"/>
      <c r="AEP48" s="39"/>
      <c r="AEQ48" s="39"/>
      <c r="AER48" s="39"/>
      <c r="AES48" s="39"/>
      <c r="AET48" s="39"/>
      <c r="AEU48" s="39"/>
      <c r="AEV48" s="39"/>
      <c r="AEW48" s="39"/>
      <c r="AEX48" s="39"/>
      <c r="AEY48" s="39"/>
      <c r="AEZ48" s="39"/>
      <c r="AFA48" s="39"/>
      <c r="AFB48" s="39"/>
      <c r="AFC48" s="39"/>
      <c r="AFD48" s="39"/>
      <c r="AFE48" s="39"/>
      <c r="AFF48" s="39"/>
      <c r="AFG48" s="39"/>
      <c r="AFH48" s="39"/>
      <c r="AFI48" s="39"/>
      <c r="AFJ48" s="39"/>
      <c r="AFK48" s="39"/>
      <c r="AFL48" s="39"/>
      <c r="AFM48" s="39"/>
      <c r="AFN48" s="39"/>
      <c r="AFO48" s="39"/>
      <c r="AFP48" s="39"/>
      <c r="AFQ48" s="39"/>
      <c r="AFR48" s="39"/>
      <c r="AFS48" s="39"/>
      <c r="AFT48" s="39"/>
      <c r="AFU48" s="39"/>
      <c r="AFV48" s="39"/>
      <c r="AFW48" s="39"/>
      <c r="AFX48" s="39"/>
      <c r="AFY48" s="39"/>
      <c r="AFZ48" s="39"/>
      <c r="AGA48" s="39"/>
      <c r="AGB48" s="39"/>
      <c r="AGC48" s="39"/>
      <c r="AGD48" s="39"/>
      <c r="AGE48" s="39"/>
      <c r="AGF48" s="39"/>
      <c r="AGG48" s="39"/>
      <c r="AGH48" s="39"/>
      <c r="AGI48" s="39"/>
      <c r="AGJ48" s="39"/>
      <c r="AGK48" s="39"/>
      <c r="AGL48" s="39"/>
      <c r="AGM48" s="39"/>
      <c r="AGN48" s="39"/>
      <c r="AGO48" s="39"/>
      <c r="AGP48" s="39"/>
      <c r="AGQ48" s="39"/>
      <c r="AGR48" s="39"/>
      <c r="AGS48" s="39"/>
      <c r="AGT48" s="39"/>
      <c r="AGU48" s="39"/>
      <c r="AGV48" s="39"/>
      <c r="AGW48" s="39"/>
      <c r="AGX48" s="39"/>
      <c r="AGY48" s="39"/>
      <c r="AGZ48" s="39"/>
      <c r="AHA48" s="39"/>
      <c r="AHB48" s="39"/>
      <c r="AHC48" s="39"/>
      <c r="AHD48" s="39"/>
      <c r="AHE48" s="39"/>
      <c r="AHF48" s="39"/>
      <c r="AHG48" s="39"/>
      <c r="AHH48" s="39"/>
      <c r="AHI48" s="39"/>
      <c r="AHJ48" s="39"/>
      <c r="AHK48" s="39"/>
      <c r="AHL48" s="39"/>
      <c r="AHM48" s="39"/>
      <c r="AHN48" s="39"/>
      <c r="AHO48" s="39"/>
      <c r="AHP48" s="39"/>
      <c r="AHQ48" s="39"/>
      <c r="AHR48" s="39"/>
      <c r="AHS48" s="39"/>
      <c r="AHT48" s="39"/>
      <c r="AHU48" s="39"/>
      <c r="AHV48" s="39"/>
      <c r="AHW48" s="39"/>
      <c r="AHX48" s="39"/>
      <c r="AHY48" s="39"/>
      <c r="AHZ48" s="39"/>
      <c r="AIA48" s="39"/>
      <c r="AIB48" s="39"/>
      <c r="AIC48" s="39"/>
      <c r="AID48" s="39"/>
      <c r="AIE48" s="39"/>
      <c r="AIF48" s="39"/>
      <c r="AIG48" s="39"/>
      <c r="AIH48" s="39"/>
      <c r="AII48" s="39"/>
      <c r="AIJ48" s="39"/>
      <c r="AIK48" s="39"/>
      <c r="AIL48" s="39"/>
      <c r="AIM48" s="39"/>
      <c r="AIN48" s="39"/>
      <c r="AIO48" s="39"/>
      <c r="AIP48" s="39"/>
      <c r="AIQ48" s="39"/>
      <c r="AIR48" s="39"/>
      <c r="AIS48" s="39"/>
      <c r="AIT48" s="39"/>
      <c r="AIU48" s="39"/>
      <c r="AIV48" s="39"/>
      <c r="AIW48" s="39"/>
      <c r="AIX48" s="39"/>
      <c r="AIY48" s="39"/>
      <c r="AIZ48" s="39"/>
      <c r="AJA48" s="39"/>
      <c r="AJB48" s="39"/>
      <c r="AJC48" s="39"/>
      <c r="AJD48" s="39"/>
      <c r="AJE48" s="39"/>
      <c r="AJF48" s="39"/>
      <c r="AJG48" s="39"/>
      <c r="AJH48" s="39"/>
      <c r="AJI48" s="39"/>
      <c r="AJJ48" s="39"/>
      <c r="AJK48" s="39"/>
      <c r="AJL48" s="39"/>
      <c r="AJM48" s="39"/>
      <c r="AJN48" s="39"/>
      <c r="AJO48" s="39"/>
      <c r="AJP48" s="39"/>
      <c r="AJQ48" s="39"/>
      <c r="AJR48" s="39"/>
      <c r="AJS48" s="39"/>
      <c r="AJT48" s="39"/>
      <c r="AJU48" s="39"/>
      <c r="AJV48" s="39"/>
      <c r="AJW48" s="39"/>
      <c r="AJX48" s="39"/>
      <c r="AJY48" s="39"/>
      <c r="AJZ48" s="39"/>
      <c r="AKA48" s="39"/>
      <c r="AKB48" s="39"/>
      <c r="AKC48" s="39"/>
      <c r="AKD48" s="39"/>
      <c r="AKE48" s="39"/>
      <c r="AKF48" s="39"/>
      <c r="AKG48" s="39"/>
      <c r="AKH48" s="39"/>
      <c r="AKI48" s="39"/>
      <c r="AKJ48" s="39"/>
      <c r="AKK48" s="39"/>
      <c r="AKL48" s="39"/>
      <c r="AKM48" s="39"/>
      <c r="AKN48" s="39"/>
      <c r="AKO48" s="39"/>
      <c r="AKP48" s="39"/>
      <c r="AKQ48" s="39"/>
      <c r="AKR48" s="39"/>
      <c r="AKS48" s="39"/>
      <c r="AKT48" s="39"/>
      <c r="AKU48" s="39"/>
      <c r="AKV48" s="39"/>
      <c r="AKW48" s="39"/>
      <c r="AKX48" s="39"/>
      <c r="AKY48" s="39"/>
      <c r="AKZ48" s="39"/>
      <c r="ALA48" s="39"/>
      <c r="ALB48" s="39"/>
      <c r="ALC48" s="39"/>
      <c r="ALD48" s="39"/>
      <c r="ALE48" s="39"/>
      <c r="ALF48" s="39"/>
      <c r="ALG48" s="39"/>
      <c r="ALH48" s="39"/>
      <c r="ALI48" s="39"/>
      <c r="ALJ48" s="39"/>
      <c r="ALK48" s="39"/>
      <c r="ALL48" s="39"/>
      <c r="ALM48" s="39"/>
      <c r="ALN48" s="39"/>
      <c r="ALO48" s="39"/>
      <c r="ALP48" s="39"/>
    </row>
    <row r="49" spans="1:1004" s="102" customFormat="1" ht="13.5">
      <c r="A49" s="903"/>
      <c r="B49" s="904"/>
      <c r="C49" s="930" t="s">
        <v>283</v>
      </c>
      <c r="D49" s="906"/>
      <c r="E49" s="931">
        <v>2</v>
      </c>
      <c r="F49" s="936">
        <v>5</v>
      </c>
      <c r="G49" s="908">
        <f>E49*F49</f>
        <v>10</v>
      </c>
      <c r="H49" s="933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9"/>
      <c r="MM49" s="39"/>
      <c r="MN49" s="39"/>
      <c r="MO49" s="39"/>
      <c r="MP49" s="39"/>
      <c r="MQ49" s="39"/>
      <c r="MR49" s="39"/>
      <c r="MS49" s="39"/>
      <c r="MT49" s="39"/>
      <c r="MU49" s="39"/>
      <c r="MV49" s="39"/>
      <c r="MW49" s="39"/>
      <c r="MX49" s="39"/>
      <c r="MY49" s="39"/>
      <c r="MZ49" s="39"/>
      <c r="NA49" s="39"/>
      <c r="NB49" s="39"/>
      <c r="NC49" s="39"/>
      <c r="ND49" s="39"/>
      <c r="NE49" s="39"/>
      <c r="NF49" s="39"/>
      <c r="NG49" s="39"/>
      <c r="NH49" s="39"/>
      <c r="NI49" s="39"/>
      <c r="NJ49" s="39"/>
      <c r="NK49" s="39"/>
      <c r="NL49" s="39"/>
      <c r="NM49" s="39"/>
      <c r="NN49" s="39"/>
      <c r="NO49" s="39"/>
      <c r="NP49" s="39"/>
      <c r="NQ49" s="39"/>
      <c r="NR49" s="39"/>
      <c r="NS49" s="39"/>
      <c r="NT49" s="39"/>
      <c r="NU49" s="39"/>
      <c r="NV49" s="39"/>
      <c r="NW49" s="39"/>
      <c r="NX49" s="39"/>
      <c r="NY49" s="39"/>
      <c r="NZ49" s="39"/>
      <c r="OA49" s="39"/>
      <c r="OB49" s="39"/>
      <c r="OC49" s="39"/>
      <c r="OD49" s="39"/>
      <c r="OE49" s="39"/>
      <c r="OF49" s="39"/>
      <c r="OG49" s="39"/>
      <c r="OH49" s="39"/>
      <c r="OI49" s="39"/>
      <c r="OJ49" s="39"/>
      <c r="OK49" s="39"/>
      <c r="OL49" s="39"/>
      <c r="OM49" s="39"/>
      <c r="ON49" s="39"/>
      <c r="OO49" s="39"/>
      <c r="OP49" s="39"/>
      <c r="OQ49" s="39"/>
      <c r="OR49" s="39"/>
      <c r="OS49" s="39"/>
      <c r="OT49" s="39"/>
      <c r="OU49" s="39"/>
      <c r="OV49" s="39"/>
      <c r="OW49" s="39"/>
      <c r="OX49" s="39"/>
      <c r="OY49" s="39"/>
      <c r="OZ49" s="39"/>
      <c r="PA49" s="39"/>
      <c r="PB49" s="39"/>
      <c r="PC49" s="39"/>
      <c r="PD49" s="39"/>
      <c r="PE49" s="39"/>
      <c r="PF49" s="39"/>
      <c r="PG49" s="39"/>
      <c r="PH49" s="39"/>
      <c r="PI49" s="39"/>
      <c r="PJ49" s="39"/>
      <c r="PK49" s="39"/>
      <c r="PL49" s="39"/>
      <c r="PM49" s="39"/>
      <c r="PN49" s="39"/>
      <c r="PO49" s="39"/>
      <c r="PP49" s="39"/>
      <c r="PQ49" s="39"/>
      <c r="PR49" s="39"/>
      <c r="PS49" s="39"/>
      <c r="PT49" s="39"/>
      <c r="PU49" s="39"/>
      <c r="PV49" s="39"/>
      <c r="PW49" s="39"/>
      <c r="PX49" s="39"/>
      <c r="PY49" s="39"/>
      <c r="PZ49" s="39"/>
      <c r="QA49" s="39"/>
      <c r="QB49" s="39"/>
      <c r="QC49" s="39"/>
      <c r="QD49" s="39"/>
      <c r="QE49" s="39"/>
      <c r="QF49" s="39"/>
      <c r="QG49" s="39"/>
      <c r="QH49" s="39"/>
      <c r="QI49" s="39"/>
      <c r="QJ49" s="39"/>
      <c r="QK49" s="39"/>
      <c r="QL49" s="39"/>
      <c r="QM49" s="39"/>
      <c r="QN49" s="39"/>
      <c r="QO49" s="39"/>
      <c r="QP49" s="39"/>
      <c r="QQ49" s="39"/>
      <c r="QR49" s="39"/>
      <c r="QS49" s="39"/>
      <c r="QT49" s="39"/>
      <c r="QU49" s="39"/>
      <c r="QV49" s="39"/>
      <c r="QW49" s="39"/>
      <c r="QX49" s="39"/>
      <c r="QY49" s="39"/>
      <c r="QZ49" s="39"/>
      <c r="RA49" s="39"/>
      <c r="RB49" s="39"/>
      <c r="RC49" s="39"/>
      <c r="RD49" s="39"/>
      <c r="RE49" s="39"/>
      <c r="RF49" s="39"/>
      <c r="RG49" s="39"/>
      <c r="RH49" s="39"/>
      <c r="RI49" s="39"/>
      <c r="RJ49" s="39"/>
      <c r="RK49" s="39"/>
      <c r="RL49" s="39"/>
      <c r="RM49" s="39"/>
      <c r="RN49" s="39"/>
      <c r="RO49" s="39"/>
      <c r="RP49" s="39"/>
      <c r="RQ49" s="39"/>
      <c r="RR49" s="39"/>
      <c r="RS49" s="39"/>
      <c r="RT49" s="39"/>
      <c r="RU49" s="39"/>
      <c r="RV49" s="39"/>
      <c r="RW49" s="39"/>
      <c r="RX49" s="39"/>
      <c r="RY49" s="39"/>
      <c r="RZ49" s="39"/>
      <c r="SA49" s="39"/>
      <c r="SB49" s="39"/>
      <c r="SC49" s="39"/>
      <c r="SD49" s="39"/>
      <c r="SE49" s="39"/>
      <c r="SF49" s="39"/>
      <c r="SG49" s="39"/>
      <c r="SH49" s="39"/>
      <c r="SI49" s="39"/>
      <c r="SJ49" s="39"/>
      <c r="SK49" s="39"/>
      <c r="SL49" s="39"/>
      <c r="SM49" s="39"/>
      <c r="SN49" s="39"/>
      <c r="SO49" s="39"/>
      <c r="SP49" s="39"/>
      <c r="SQ49" s="39"/>
      <c r="SR49" s="39"/>
      <c r="SS49" s="39"/>
      <c r="ST49" s="39"/>
      <c r="SU49" s="39"/>
      <c r="SV49" s="39"/>
      <c r="SW49" s="39"/>
      <c r="SX49" s="39"/>
      <c r="SY49" s="39"/>
      <c r="SZ49" s="39"/>
      <c r="TA49" s="39"/>
      <c r="TB49" s="39"/>
      <c r="TC49" s="39"/>
      <c r="TD49" s="39"/>
      <c r="TE49" s="39"/>
      <c r="TF49" s="39"/>
      <c r="TG49" s="39"/>
      <c r="TH49" s="39"/>
      <c r="TI49" s="39"/>
      <c r="TJ49" s="39"/>
      <c r="TK49" s="39"/>
      <c r="TL49" s="39"/>
      <c r="TM49" s="39"/>
      <c r="TN49" s="39"/>
      <c r="TO49" s="39"/>
      <c r="TP49" s="39"/>
      <c r="TQ49" s="39"/>
      <c r="TR49" s="39"/>
      <c r="TS49" s="39"/>
      <c r="TT49" s="39"/>
      <c r="TU49" s="39"/>
      <c r="TV49" s="39"/>
      <c r="TW49" s="39"/>
      <c r="TX49" s="39"/>
      <c r="TY49" s="39"/>
      <c r="TZ49" s="39"/>
      <c r="UA49" s="39"/>
      <c r="UB49" s="39"/>
      <c r="UC49" s="39"/>
      <c r="UD49" s="39"/>
      <c r="UE49" s="39"/>
      <c r="UF49" s="39"/>
      <c r="UG49" s="39"/>
      <c r="UH49" s="39"/>
      <c r="UI49" s="39"/>
      <c r="UJ49" s="39"/>
      <c r="UK49" s="39"/>
      <c r="UL49" s="39"/>
      <c r="UM49" s="39"/>
      <c r="UN49" s="39"/>
      <c r="UO49" s="39"/>
      <c r="UP49" s="39"/>
      <c r="UQ49" s="39"/>
      <c r="UR49" s="39"/>
      <c r="US49" s="39"/>
      <c r="UT49" s="39"/>
      <c r="UU49" s="39"/>
      <c r="UV49" s="39"/>
      <c r="UW49" s="39"/>
      <c r="UX49" s="39"/>
      <c r="UY49" s="39"/>
      <c r="UZ49" s="39"/>
      <c r="VA49" s="39"/>
      <c r="VB49" s="39"/>
      <c r="VC49" s="39"/>
      <c r="VD49" s="39"/>
      <c r="VE49" s="39"/>
      <c r="VF49" s="39"/>
      <c r="VG49" s="39"/>
      <c r="VH49" s="39"/>
      <c r="VI49" s="39"/>
      <c r="VJ49" s="39"/>
      <c r="VK49" s="39"/>
      <c r="VL49" s="39"/>
      <c r="VM49" s="39"/>
      <c r="VN49" s="39"/>
      <c r="VO49" s="39"/>
      <c r="VP49" s="39"/>
      <c r="VQ49" s="39"/>
      <c r="VR49" s="39"/>
      <c r="VS49" s="39"/>
      <c r="VT49" s="39"/>
      <c r="VU49" s="39"/>
      <c r="VV49" s="39"/>
      <c r="VW49" s="39"/>
      <c r="VX49" s="39"/>
      <c r="VY49" s="39"/>
      <c r="VZ49" s="39"/>
      <c r="WA49" s="39"/>
      <c r="WB49" s="39"/>
      <c r="WC49" s="39"/>
      <c r="WD49" s="39"/>
      <c r="WE49" s="39"/>
      <c r="WF49" s="39"/>
      <c r="WG49" s="39"/>
      <c r="WH49" s="39"/>
      <c r="WI49" s="39"/>
      <c r="WJ49" s="39"/>
      <c r="WK49" s="39"/>
      <c r="WL49" s="39"/>
      <c r="WM49" s="39"/>
      <c r="WN49" s="39"/>
      <c r="WO49" s="39"/>
      <c r="WP49" s="39"/>
      <c r="WQ49" s="39"/>
      <c r="WR49" s="39"/>
      <c r="WS49" s="39"/>
      <c r="WT49" s="39"/>
      <c r="WU49" s="39"/>
      <c r="WV49" s="39"/>
      <c r="WW49" s="39"/>
      <c r="WX49" s="39"/>
      <c r="WY49" s="39"/>
      <c r="WZ49" s="39"/>
      <c r="XA49" s="39"/>
      <c r="XB49" s="39"/>
      <c r="XC49" s="39"/>
      <c r="XD49" s="39"/>
      <c r="XE49" s="39"/>
      <c r="XF49" s="39"/>
      <c r="XG49" s="39"/>
      <c r="XH49" s="39"/>
      <c r="XI49" s="39"/>
      <c r="XJ49" s="39"/>
      <c r="XK49" s="39"/>
      <c r="XL49" s="39"/>
      <c r="XM49" s="39"/>
      <c r="XN49" s="39"/>
      <c r="XO49" s="39"/>
      <c r="XP49" s="39"/>
      <c r="XQ49" s="39"/>
      <c r="XR49" s="39"/>
      <c r="XS49" s="39"/>
      <c r="XT49" s="39"/>
      <c r="XU49" s="39"/>
      <c r="XV49" s="39"/>
      <c r="XW49" s="39"/>
      <c r="XX49" s="39"/>
      <c r="XY49" s="39"/>
      <c r="XZ49" s="39"/>
      <c r="YA49" s="39"/>
      <c r="YB49" s="39"/>
      <c r="YC49" s="39"/>
      <c r="YD49" s="39"/>
      <c r="YE49" s="39"/>
      <c r="YF49" s="39"/>
      <c r="YG49" s="39"/>
      <c r="YH49" s="39"/>
      <c r="YI49" s="39"/>
      <c r="YJ49" s="39"/>
      <c r="YK49" s="39"/>
      <c r="YL49" s="39"/>
      <c r="YM49" s="39"/>
      <c r="YN49" s="39"/>
      <c r="YO49" s="39"/>
      <c r="YP49" s="39"/>
      <c r="YQ49" s="39"/>
      <c r="YR49" s="39"/>
      <c r="YS49" s="39"/>
      <c r="YT49" s="39"/>
      <c r="YU49" s="39"/>
      <c r="YV49" s="39"/>
      <c r="YW49" s="39"/>
      <c r="YX49" s="39"/>
      <c r="YY49" s="39"/>
      <c r="YZ49" s="39"/>
      <c r="ZA49" s="39"/>
      <c r="ZB49" s="39"/>
      <c r="ZC49" s="39"/>
      <c r="ZD49" s="39"/>
      <c r="ZE49" s="39"/>
      <c r="ZF49" s="39"/>
      <c r="ZG49" s="39"/>
      <c r="ZH49" s="39"/>
      <c r="ZI49" s="39"/>
      <c r="ZJ49" s="39"/>
      <c r="ZK49" s="39"/>
      <c r="ZL49" s="39"/>
      <c r="ZM49" s="39"/>
      <c r="ZN49" s="39"/>
      <c r="ZO49" s="39"/>
      <c r="ZP49" s="39"/>
      <c r="ZQ49" s="39"/>
      <c r="ZR49" s="39"/>
      <c r="ZS49" s="39"/>
      <c r="ZT49" s="39"/>
      <c r="ZU49" s="39"/>
      <c r="ZV49" s="39"/>
      <c r="ZW49" s="39"/>
      <c r="ZX49" s="39"/>
      <c r="ZY49" s="39"/>
      <c r="ZZ49" s="39"/>
      <c r="AAA49" s="39"/>
      <c r="AAB49" s="39"/>
      <c r="AAC49" s="39"/>
      <c r="AAD49" s="39"/>
      <c r="AAE49" s="39"/>
      <c r="AAF49" s="39"/>
      <c r="AAG49" s="39"/>
      <c r="AAH49" s="39"/>
      <c r="AAI49" s="39"/>
      <c r="AAJ49" s="39"/>
      <c r="AAK49" s="39"/>
      <c r="AAL49" s="39"/>
      <c r="AAM49" s="39"/>
      <c r="AAN49" s="39"/>
      <c r="AAO49" s="39"/>
      <c r="AAP49" s="39"/>
      <c r="AAQ49" s="39"/>
      <c r="AAR49" s="39"/>
      <c r="AAS49" s="39"/>
      <c r="AAT49" s="39"/>
      <c r="AAU49" s="39"/>
      <c r="AAV49" s="39"/>
      <c r="AAW49" s="39"/>
      <c r="AAX49" s="39"/>
      <c r="AAY49" s="39"/>
      <c r="AAZ49" s="39"/>
      <c r="ABA49" s="39"/>
      <c r="ABB49" s="39"/>
      <c r="ABC49" s="39"/>
      <c r="ABD49" s="39"/>
      <c r="ABE49" s="39"/>
      <c r="ABF49" s="39"/>
      <c r="ABG49" s="39"/>
      <c r="ABH49" s="39"/>
      <c r="ABI49" s="39"/>
      <c r="ABJ49" s="39"/>
      <c r="ABK49" s="39"/>
      <c r="ABL49" s="39"/>
      <c r="ABM49" s="39"/>
      <c r="ABN49" s="39"/>
      <c r="ABO49" s="39"/>
      <c r="ABP49" s="39"/>
      <c r="ABQ49" s="39"/>
      <c r="ABR49" s="39"/>
      <c r="ABS49" s="39"/>
      <c r="ABT49" s="39"/>
      <c r="ABU49" s="39"/>
      <c r="ABV49" s="39"/>
      <c r="ABW49" s="39"/>
      <c r="ABX49" s="39"/>
      <c r="ABY49" s="39"/>
      <c r="ABZ49" s="39"/>
      <c r="ACA49" s="39"/>
      <c r="ACB49" s="39"/>
      <c r="ACC49" s="39"/>
      <c r="ACD49" s="39"/>
      <c r="ACE49" s="39"/>
      <c r="ACF49" s="39"/>
      <c r="ACG49" s="39"/>
      <c r="ACH49" s="39"/>
      <c r="ACI49" s="39"/>
      <c r="ACJ49" s="39"/>
      <c r="ACK49" s="39"/>
      <c r="ACL49" s="39"/>
      <c r="ACM49" s="39"/>
      <c r="ACN49" s="39"/>
      <c r="ACO49" s="39"/>
      <c r="ACP49" s="39"/>
      <c r="ACQ49" s="39"/>
      <c r="ACR49" s="39"/>
      <c r="ACS49" s="39"/>
      <c r="ACT49" s="39"/>
      <c r="ACU49" s="39"/>
      <c r="ACV49" s="39"/>
      <c r="ACW49" s="39"/>
      <c r="ACX49" s="39"/>
      <c r="ACY49" s="39"/>
      <c r="ACZ49" s="39"/>
      <c r="ADA49" s="39"/>
      <c r="ADB49" s="39"/>
      <c r="ADC49" s="39"/>
      <c r="ADD49" s="39"/>
      <c r="ADE49" s="39"/>
      <c r="ADF49" s="39"/>
      <c r="ADG49" s="39"/>
      <c r="ADH49" s="39"/>
      <c r="ADI49" s="39"/>
      <c r="ADJ49" s="39"/>
      <c r="ADK49" s="39"/>
      <c r="ADL49" s="39"/>
      <c r="ADM49" s="39"/>
      <c r="ADN49" s="39"/>
      <c r="ADO49" s="39"/>
      <c r="ADP49" s="39"/>
      <c r="ADQ49" s="39"/>
      <c r="ADR49" s="39"/>
      <c r="ADS49" s="39"/>
      <c r="ADT49" s="39"/>
      <c r="ADU49" s="39"/>
      <c r="ADV49" s="39"/>
      <c r="ADW49" s="39"/>
      <c r="ADX49" s="39"/>
      <c r="ADY49" s="39"/>
      <c r="ADZ49" s="39"/>
      <c r="AEA49" s="39"/>
      <c r="AEB49" s="39"/>
      <c r="AEC49" s="39"/>
      <c r="AED49" s="39"/>
      <c r="AEE49" s="39"/>
      <c r="AEF49" s="39"/>
      <c r="AEG49" s="39"/>
      <c r="AEH49" s="39"/>
      <c r="AEI49" s="39"/>
      <c r="AEJ49" s="39"/>
      <c r="AEK49" s="39"/>
      <c r="AEL49" s="39"/>
      <c r="AEM49" s="39"/>
      <c r="AEN49" s="39"/>
      <c r="AEO49" s="39"/>
      <c r="AEP49" s="39"/>
      <c r="AEQ49" s="39"/>
      <c r="AER49" s="39"/>
      <c r="AES49" s="39"/>
      <c r="AET49" s="39"/>
      <c r="AEU49" s="39"/>
      <c r="AEV49" s="39"/>
      <c r="AEW49" s="39"/>
      <c r="AEX49" s="39"/>
      <c r="AEY49" s="39"/>
      <c r="AEZ49" s="39"/>
      <c r="AFA49" s="39"/>
      <c r="AFB49" s="39"/>
      <c r="AFC49" s="39"/>
      <c r="AFD49" s="39"/>
      <c r="AFE49" s="39"/>
      <c r="AFF49" s="39"/>
      <c r="AFG49" s="39"/>
      <c r="AFH49" s="39"/>
      <c r="AFI49" s="39"/>
      <c r="AFJ49" s="39"/>
      <c r="AFK49" s="39"/>
      <c r="AFL49" s="39"/>
      <c r="AFM49" s="39"/>
      <c r="AFN49" s="39"/>
      <c r="AFO49" s="39"/>
      <c r="AFP49" s="39"/>
      <c r="AFQ49" s="39"/>
      <c r="AFR49" s="39"/>
      <c r="AFS49" s="39"/>
      <c r="AFT49" s="39"/>
      <c r="AFU49" s="39"/>
      <c r="AFV49" s="39"/>
      <c r="AFW49" s="39"/>
      <c r="AFX49" s="39"/>
      <c r="AFY49" s="39"/>
      <c r="AFZ49" s="39"/>
      <c r="AGA49" s="39"/>
      <c r="AGB49" s="39"/>
      <c r="AGC49" s="39"/>
      <c r="AGD49" s="39"/>
      <c r="AGE49" s="39"/>
      <c r="AGF49" s="39"/>
      <c r="AGG49" s="39"/>
      <c r="AGH49" s="39"/>
      <c r="AGI49" s="39"/>
      <c r="AGJ49" s="39"/>
      <c r="AGK49" s="39"/>
      <c r="AGL49" s="39"/>
      <c r="AGM49" s="39"/>
      <c r="AGN49" s="39"/>
      <c r="AGO49" s="39"/>
      <c r="AGP49" s="39"/>
      <c r="AGQ49" s="39"/>
      <c r="AGR49" s="39"/>
      <c r="AGS49" s="39"/>
      <c r="AGT49" s="39"/>
      <c r="AGU49" s="39"/>
      <c r="AGV49" s="39"/>
      <c r="AGW49" s="39"/>
      <c r="AGX49" s="39"/>
      <c r="AGY49" s="39"/>
      <c r="AGZ49" s="39"/>
      <c r="AHA49" s="39"/>
      <c r="AHB49" s="39"/>
      <c r="AHC49" s="39"/>
      <c r="AHD49" s="39"/>
      <c r="AHE49" s="39"/>
      <c r="AHF49" s="39"/>
      <c r="AHG49" s="39"/>
      <c r="AHH49" s="39"/>
      <c r="AHI49" s="39"/>
      <c r="AHJ49" s="39"/>
      <c r="AHK49" s="39"/>
      <c r="AHL49" s="39"/>
      <c r="AHM49" s="39"/>
      <c r="AHN49" s="39"/>
      <c r="AHO49" s="39"/>
      <c r="AHP49" s="39"/>
      <c r="AHQ49" s="39"/>
      <c r="AHR49" s="39"/>
      <c r="AHS49" s="39"/>
      <c r="AHT49" s="39"/>
      <c r="AHU49" s="39"/>
      <c r="AHV49" s="39"/>
      <c r="AHW49" s="39"/>
      <c r="AHX49" s="39"/>
      <c r="AHY49" s="39"/>
      <c r="AHZ49" s="39"/>
      <c r="AIA49" s="39"/>
      <c r="AIB49" s="39"/>
      <c r="AIC49" s="39"/>
      <c r="AID49" s="39"/>
      <c r="AIE49" s="39"/>
      <c r="AIF49" s="39"/>
      <c r="AIG49" s="39"/>
      <c r="AIH49" s="39"/>
      <c r="AII49" s="39"/>
      <c r="AIJ49" s="39"/>
      <c r="AIK49" s="39"/>
      <c r="AIL49" s="39"/>
      <c r="AIM49" s="39"/>
      <c r="AIN49" s="39"/>
      <c r="AIO49" s="39"/>
      <c r="AIP49" s="39"/>
      <c r="AIQ49" s="39"/>
      <c r="AIR49" s="39"/>
      <c r="AIS49" s="39"/>
      <c r="AIT49" s="39"/>
      <c r="AIU49" s="39"/>
      <c r="AIV49" s="39"/>
      <c r="AIW49" s="39"/>
      <c r="AIX49" s="39"/>
      <c r="AIY49" s="39"/>
      <c r="AIZ49" s="39"/>
      <c r="AJA49" s="39"/>
      <c r="AJB49" s="39"/>
      <c r="AJC49" s="39"/>
      <c r="AJD49" s="39"/>
      <c r="AJE49" s="39"/>
      <c r="AJF49" s="39"/>
      <c r="AJG49" s="39"/>
      <c r="AJH49" s="39"/>
      <c r="AJI49" s="39"/>
      <c r="AJJ49" s="39"/>
      <c r="AJK49" s="39"/>
      <c r="AJL49" s="39"/>
      <c r="AJM49" s="39"/>
      <c r="AJN49" s="39"/>
      <c r="AJO49" s="39"/>
      <c r="AJP49" s="39"/>
      <c r="AJQ49" s="39"/>
      <c r="AJR49" s="39"/>
      <c r="AJS49" s="39"/>
      <c r="AJT49" s="39"/>
      <c r="AJU49" s="39"/>
      <c r="AJV49" s="39"/>
      <c r="AJW49" s="39"/>
      <c r="AJX49" s="39"/>
      <c r="AJY49" s="39"/>
      <c r="AJZ49" s="39"/>
      <c r="AKA49" s="39"/>
      <c r="AKB49" s="39"/>
      <c r="AKC49" s="39"/>
      <c r="AKD49" s="39"/>
      <c r="AKE49" s="39"/>
      <c r="AKF49" s="39"/>
      <c r="AKG49" s="39"/>
      <c r="AKH49" s="39"/>
      <c r="AKI49" s="39"/>
      <c r="AKJ49" s="39"/>
      <c r="AKK49" s="39"/>
      <c r="AKL49" s="39"/>
      <c r="AKM49" s="39"/>
      <c r="AKN49" s="39"/>
      <c r="AKO49" s="39"/>
      <c r="AKP49" s="39"/>
      <c r="AKQ49" s="39"/>
      <c r="AKR49" s="39"/>
      <c r="AKS49" s="39"/>
      <c r="AKT49" s="39"/>
      <c r="AKU49" s="39"/>
      <c r="AKV49" s="39"/>
      <c r="AKW49" s="39"/>
      <c r="AKX49" s="39"/>
      <c r="AKY49" s="39"/>
      <c r="AKZ49" s="39"/>
      <c r="ALA49" s="39"/>
      <c r="ALB49" s="39"/>
      <c r="ALC49" s="39"/>
      <c r="ALD49" s="39"/>
      <c r="ALE49" s="39"/>
      <c r="ALF49" s="39"/>
      <c r="ALG49" s="39"/>
      <c r="ALH49" s="39"/>
      <c r="ALI49" s="39"/>
      <c r="ALJ49" s="39"/>
      <c r="ALK49" s="39"/>
      <c r="ALL49" s="39"/>
      <c r="ALM49" s="39"/>
      <c r="ALN49" s="39"/>
      <c r="ALO49" s="39"/>
      <c r="ALP49" s="39"/>
    </row>
    <row r="50" spans="1:1004" s="39" customFormat="1" ht="11.45" customHeight="1">
      <c r="A50" s="23"/>
      <c r="B50" s="24"/>
      <c r="C50" s="30"/>
      <c r="D50" s="25"/>
      <c r="E50" s="26"/>
      <c r="F50" s="27" t="s">
        <v>15</v>
      </c>
      <c r="G50" s="28">
        <f>SUM(G44:G49)</f>
        <v>64</v>
      </c>
      <c r="H50" s="29"/>
    </row>
    <row r="51" spans="1:1004" s="39" customFormat="1" ht="11.45" customHeight="1">
      <c r="A51" s="914"/>
      <c r="B51" s="915"/>
      <c r="C51" s="916"/>
      <c r="D51" s="917"/>
      <c r="E51" s="918"/>
      <c r="F51" s="919" t="s">
        <v>16</v>
      </c>
      <c r="G51" s="920">
        <v>1.2</v>
      </c>
      <c r="H51" s="921"/>
    </row>
    <row r="52" spans="1:1004" s="39" customFormat="1" ht="11.45" customHeight="1">
      <c r="A52" s="922"/>
      <c r="B52" s="923"/>
      <c r="C52" s="924"/>
      <c r="D52" s="925"/>
      <c r="E52" s="926"/>
      <c r="F52" s="927" t="s">
        <v>17</v>
      </c>
      <c r="G52" s="928">
        <f>G50*G51</f>
        <v>76.8</v>
      </c>
      <c r="H52" s="929"/>
    </row>
    <row r="53" spans="1:1004" s="39" customFormat="1" ht="13.5">
      <c r="A53" s="802" t="s">
        <v>289</v>
      </c>
      <c r="B53" s="149"/>
      <c r="C53" s="150"/>
      <c r="D53" s="151"/>
      <c r="E53" s="151"/>
      <c r="F53" s="152"/>
      <c r="G53" s="152"/>
      <c r="H53" s="849"/>
    </row>
    <row r="54" spans="1:1004" s="102" customFormat="1" ht="13.5">
      <c r="A54" s="903"/>
      <c r="B54" s="904"/>
      <c r="C54" s="930" t="s">
        <v>275</v>
      </c>
      <c r="D54" s="906"/>
      <c r="E54" s="931">
        <v>2</v>
      </c>
      <c r="F54" s="932">
        <v>10</v>
      </c>
      <c r="G54" s="908">
        <f>E54*F54</f>
        <v>20</v>
      </c>
      <c r="H54" s="933"/>
    </row>
    <row r="55" spans="1:1004" s="102" customFormat="1" ht="13.5">
      <c r="A55" s="903"/>
      <c r="B55" s="904"/>
      <c r="C55" s="930" t="s">
        <v>290</v>
      </c>
      <c r="D55" s="906"/>
      <c r="E55" s="931">
        <v>2</v>
      </c>
      <c r="F55" s="932">
        <v>24</v>
      </c>
      <c r="G55" s="908">
        <f>E55*F55</f>
        <v>48</v>
      </c>
      <c r="H55" s="933"/>
    </row>
    <row r="56" spans="1:1004" s="42" customFormat="1" ht="13.5">
      <c r="A56" s="903"/>
      <c r="B56" s="904"/>
      <c r="C56" s="930" t="s">
        <v>291</v>
      </c>
      <c r="D56" s="906"/>
      <c r="E56" s="931">
        <v>1</v>
      </c>
      <c r="F56" s="936">
        <v>5</v>
      </c>
      <c r="G56" s="908">
        <f>E56*F56</f>
        <v>5</v>
      </c>
      <c r="H56" s="933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  <c r="NR56" s="39"/>
      <c r="NS56" s="39"/>
      <c r="NT56" s="39"/>
      <c r="NU56" s="39"/>
      <c r="NV56" s="39"/>
      <c r="NW56" s="39"/>
      <c r="NX56" s="39"/>
      <c r="NY56" s="39"/>
      <c r="NZ56" s="39"/>
      <c r="OA56" s="39"/>
      <c r="OB56" s="39"/>
      <c r="OC56" s="39"/>
      <c r="OD56" s="39"/>
      <c r="OE56" s="39"/>
      <c r="OF56" s="39"/>
      <c r="OG56" s="39"/>
      <c r="OH56" s="39"/>
      <c r="OI56" s="39"/>
      <c r="OJ56" s="39"/>
      <c r="OK56" s="39"/>
      <c r="OL56" s="39"/>
      <c r="OM56" s="39"/>
      <c r="ON56" s="39"/>
      <c r="OO56" s="39"/>
      <c r="OP56" s="39"/>
      <c r="OQ56" s="39"/>
      <c r="OR56" s="39"/>
      <c r="OS56" s="39"/>
      <c r="OT56" s="39"/>
      <c r="OU56" s="39"/>
      <c r="OV56" s="39"/>
      <c r="OW56" s="39"/>
      <c r="OX56" s="39"/>
      <c r="OY56" s="39"/>
      <c r="OZ56" s="39"/>
      <c r="PA56" s="39"/>
      <c r="PB56" s="39"/>
      <c r="PC56" s="39"/>
      <c r="PD56" s="39"/>
      <c r="PE56" s="39"/>
      <c r="PF56" s="39"/>
      <c r="PG56" s="39"/>
      <c r="PH56" s="39"/>
      <c r="PI56" s="39"/>
      <c r="PJ56" s="39"/>
      <c r="PK56" s="39"/>
      <c r="PL56" s="39"/>
      <c r="PM56" s="39"/>
      <c r="PN56" s="39"/>
      <c r="PO56" s="39"/>
      <c r="PP56" s="39"/>
      <c r="PQ56" s="39"/>
      <c r="PR56" s="39"/>
      <c r="PS56" s="39"/>
      <c r="PT56" s="39"/>
      <c r="PU56" s="39"/>
      <c r="PV56" s="39"/>
      <c r="PW56" s="39"/>
      <c r="PX56" s="39"/>
      <c r="PY56" s="39"/>
      <c r="PZ56" s="39"/>
      <c r="QA56" s="39"/>
      <c r="QB56" s="39"/>
      <c r="QC56" s="39"/>
      <c r="QD56" s="39"/>
      <c r="QE56" s="39"/>
      <c r="QF56" s="39"/>
      <c r="QG56" s="39"/>
      <c r="QH56" s="39"/>
      <c r="QI56" s="39"/>
      <c r="QJ56" s="39"/>
      <c r="QK56" s="39"/>
      <c r="QL56" s="39"/>
      <c r="QM56" s="39"/>
      <c r="QN56" s="39"/>
      <c r="QO56" s="39"/>
      <c r="QP56" s="39"/>
      <c r="QQ56" s="39"/>
      <c r="QR56" s="39"/>
      <c r="QS56" s="39"/>
      <c r="QT56" s="39"/>
      <c r="QU56" s="39"/>
      <c r="QV56" s="39"/>
      <c r="QW56" s="39"/>
      <c r="QX56" s="39"/>
      <c r="QY56" s="39"/>
      <c r="QZ56" s="39"/>
      <c r="RA56" s="39"/>
      <c r="RB56" s="39"/>
      <c r="RC56" s="39"/>
      <c r="RD56" s="39"/>
      <c r="RE56" s="39"/>
      <c r="RF56" s="39"/>
      <c r="RG56" s="39"/>
      <c r="RH56" s="39"/>
      <c r="RI56" s="39"/>
      <c r="RJ56" s="39"/>
      <c r="RK56" s="39"/>
      <c r="RL56" s="39"/>
      <c r="RM56" s="39"/>
      <c r="RN56" s="39"/>
      <c r="RO56" s="39"/>
      <c r="RP56" s="39"/>
      <c r="RQ56" s="39"/>
      <c r="RR56" s="39"/>
      <c r="RS56" s="39"/>
      <c r="RT56" s="39"/>
      <c r="RU56" s="39"/>
      <c r="RV56" s="39"/>
      <c r="RW56" s="39"/>
      <c r="RX56" s="39"/>
      <c r="RY56" s="39"/>
      <c r="RZ56" s="39"/>
      <c r="SA56" s="39"/>
      <c r="SB56" s="39"/>
      <c r="SC56" s="39"/>
      <c r="SD56" s="39"/>
      <c r="SE56" s="39"/>
      <c r="SF56" s="39"/>
      <c r="SG56" s="39"/>
      <c r="SH56" s="39"/>
      <c r="SI56" s="39"/>
      <c r="SJ56" s="39"/>
      <c r="SK56" s="39"/>
      <c r="SL56" s="39"/>
      <c r="SM56" s="39"/>
      <c r="SN56" s="39"/>
      <c r="SO56" s="39"/>
      <c r="SP56" s="39"/>
      <c r="SQ56" s="39"/>
      <c r="SR56" s="39"/>
      <c r="SS56" s="39"/>
      <c r="ST56" s="39"/>
      <c r="SU56" s="39"/>
      <c r="SV56" s="39"/>
      <c r="SW56" s="39"/>
      <c r="SX56" s="39"/>
      <c r="SY56" s="39"/>
      <c r="SZ56" s="39"/>
      <c r="TA56" s="39"/>
      <c r="TB56" s="39"/>
      <c r="TC56" s="39"/>
      <c r="TD56" s="39"/>
      <c r="TE56" s="39"/>
      <c r="TF56" s="39"/>
      <c r="TG56" s="39"/>
      <c r="TH56" s="39"/>
      <c r="TI56" s="39"/>
      <c r="TJ56" s="39"/>
      <c r="TK56" s="39"/>
      <c r="TL56" s="39"/>
      <c r="TM56" s="39"/>
      <c r="TN56" s="39"/>
      <c r="TO56" s="39"/>
      <c r="TP56" s="39"/>
      <c r="TQ56" s="39"/>
      <c r="TR56" s="39"/>
      <c r="TS56" s="39"/>
      <c r="TT56" s="39"/>
      <c r="TU56" s="39"/>
      <c r="TV56" s="39"/>
      <c r="TW56" s="39"/>
      <c r="TX56" s="39"/>
      <c r="TY56" s="39"/>
      <c r="TZ56" s="39"/>
      <c r="UA56" s="39"/>
      <c r="UB56" s="39"/>
      <c r="UC56" s="39"/>
      <c r="UD56" s="39"/>
      <c r="UE56" s="39"/>
      <c r="UF56" s="39"/>
      <c r="UG56" s="39"/>
      <c r="UH56" s="39"/>
      <c r="UI56" s="39"/>
      <c r="UJ56" s="39"/>
      <c r="UK56" s="39"/>
      <c r="UL56" s="39"/>
      <c r="UM56" s="39"/>
      <c r="UN56" s="39"/>
      <c r="UO56" s="39"/>
      <c r="UP56" s="39"/>
      <c r="UQ56" s="39"/>
      <c r="UR56" s="39"/>
      <c r="US56" s="39"/>
      <c r="UT56" s="39"/>
      <c r="UU56" s="39"/>
      <c r="UV56" s="39"/>
      <c r="UW56" s="39"/>
      <c r="UX56" s="39"/>
      <c r="UY56" s="39"/>
      <c r="UZ56" s="39"/>
      <c r="VA56" s="39"/>
      <c r="VB56" s="39"/>
      <c r="VC56" s="39"/>
      <c r="VD56" s="39"/>
      <c r="VE56" s="39"/>
      <c r="VF56" s="39"/>
      <c r="VG56" s="39"/>
      <c r="VH56" s="39"/>
      <c r="VI56" s="39"/>
      <c r="VJ56" s="39"/>
      <c r="VK56" s="39"/>
      <c r="VL56" s="39"/>
      <c r="VM56" s="39"/>
      <c r="VN56" s="39"/>
      <c r="VO56" s="39"/>
      <c r="VP56" s="39"/>
      <c r="VQ56" s="39"/>
      <c r="VR56" s="39"/>
      <c r="VS56" s="39"/>
      <c r="VT56" s="39"/>
      <c r="VU56" s="39"/>
      <c r="VV56" s="39"/>
      <c r="VW56" s="39"/>
      <c r="VX56" s="39"/>
      <c r="VY56" s="39"/>
      <c r="VZ56" s="39"/>
      <c r="WA56" s="39"/>
      <c r="WB56" s="39"/>
      <c r="WC56" s="39"/>
      <c r="WD56" s="39"/>
      <c r="WE56" s="39"/>
      <c r="WF56" s="39"/>
      <c r="WG56" s="39"/>
      <c r="WH56" s="39"/>
      <c r="WI56" s="39"/>
      <c r="WJ56" s="39"/>
      <c r="WK56" s="39"/>
      <c r="WL56" s="39"/>
      <c r="WM56" s="39"/>
      <c r="WN56" s="39"/>
      <c r="WO56" s="39"/>
      <c r="WP56" s="39"/>
      <c r="WQ56" s="39"/>
      <c r="WR56" s="39"/>
      <c r="WS56" s="39"/>
      <c r="WT56" s="39"/>
      <c r="WU56" s="39"/>
      <c r="WV56" s="39"/>
      <c r="WW56" s="39"/>
      <c r="WX56" s="39"/>
      <c r="WY56" s="39"/>
      <c r="WZ56" s="39"/>
      <c r="XA56" s="39"/>
      <c r="XB56" s="39"/>
      <c r="XC56" s="39"/>
      <c r="XD56" s="39"/>
      <c r="XE56" s="39"/>
      <c r="XF56" s="39"/>
      <c r="XG56" s="39"/>
      <c r="XH56" s="39"/>
      <c r="XI56" s="39"/>
      <c r="XJ56" s="39"/>
      <c r="XK56" s="39"/>
      <c r="XL56" s="39"/>
      <c r="XM56" s="39"/>
      <c r="XN56" s="39"/>
      <c r="XO56" s="39"/>
      <c r="XP56" s="39"/>
      <c r="XQ56" s="39"/>
      <c r="XR56" s="39"/>
      <c r="XS56" s="39"/>
      <c r="XT56" s="39"/>
      <c r="XU56" s="39"/>
      <c r="XV56" s="39"/>
      <c r="XW56" s="39"/>
      <c r="XX56" s="39"/>
      <c r="XY56" s="39"/>
      <c r="XZ56" s="39"/>
      <c r="YA56" s="39"/>
      <c r="YB56" s="39"/>
      <c r="YC56" s="39"/>
      <c r="YD56" s="39"/>
      <c r="YE56" s="39"/>
      <c r="YF56" s="39"/>
      <c r="YG56" s="39"/>
      <c r="YH56" s="39"/>
      <c r="YI56" s="39"/>
      <c r="YJ56" s="39"/>
      <c r="YK56" s="39"/>
      <c r="YL56" s="39"/>
      <c r="YM56" s="39"/>
      <c r="YN56" s="39"/>
      <c r="YO56" s="39"/>
      <c r="YP56" s="39"/>
      <c r="YQ56" s="39"/>
      <c r="YR56" s="39"/>
      <c r="YS56" s="39"/>
      <c r="YT56" s="39"/>
      <c r="YU56" s="39"/>
      <c r="YV56" s="39"/>
      <c r="YW56" s="39"/>
      <c r="YX56" s="39"/>
      <c r="YY56" s="39"/>
      <c r="YZ56" s="39"/>
      <c r="ZA56" s="39"/>
      <c r="ZB56" s="39"/>
      <c r="ZC56" s="39"/>
      <c r="ZD56" s="39"/>
      <c r="ZE56" s="39"/>
      <c r="ZF56" s="39"/>
      <c r="ZG56" s="39"/>
      <c r="ZH56" s="39"/>
      <c r="ZI56" s="39"/>
      <c r="ZJ56" s="39"/>
      <c r="ZK56" s="39"/>
      <c r="ZL56" s="39"/>
      <c r="ZM56" s="39"/>
      <c r="ZN56" s="39"/>
      <c r="ZO56" s="39"/>
      <c r="ZP56" s="39"/>
      <c r="ZQ56" s="39"/>
      <c r="ZR56" s="39"/>
      <c r="ZS56" s="39"/>
      <c r="ZT56" s="39"/>
      <c r="ZU56" s="39"/>
      <c r="ZV56" s="39"/>
      <c r="ZW56" s="39"/>
      <c r="ZX56" s="39"/>
      <c r="ZY56" s="39"/>
      <c r="ZZ56" s="39"/>
      <c r="AAA56" s="39"/>
      <c r="AAB56" s="39"/>
      <c r="AAC56" s="39"/>
      <c r="AAD56" s="39"/>
      <c r="AAE56" s="39"/>
      <c r="AAF56" s="39"/>
      <c r="AAG56" s="39"/>
      <c r="AAH56" s="39"/>
      <c r="AAI56" s="39"/>
      <c r="AAJ56" s="39"/>
      <c r="AAK56" s="39"/>
      <c r="AAL56" s="39"/>
      <c r="AAM56" s="39"/>
      <c r="AAN56" s="39"/>
      <c r="AAO56" s="39"/>
      <c r="AAP56" s="39"/>
      <c r="AAQ56" s="39"/>
      <c r="AAR56" s="39"/>
      <c r="AAS56" s="39"/>
      <c r="AAT56" s="39"/>
      <c r="AAU56" s="39"/>
      <c r="AAV56" s="39"/>
      <c r="AAW56" s="39"/>
      <c r="AAX56" s="39"/>
      <c r="AAY56" s="39"/>
      <c r="AAZ56" s="39"/>
      <c r="ABA56" s="39"/>
      <c r="ABB56" s="39"/>
      <c r="ABC56" s="39"/>
      <c r="ABD56" s="39"/>
      <c r="ABE56" s="39"/>
      <c r="ABF56" s="39"/>
      <c r="ABG56" s="39"/>
      <c r="ABH56" s="39"/>
      <c r="ABI56" s="39"/>
      <c r="ABJ56" s="39"/>
      <c r="ABK56" s="39"/>
      <c r="ABL56" s="39"/>
      <c r="ABM56" s="39"/>
      <c r="ABN56" s="39"/>
      <c r="ABO56" s="39"/>
      <c r="ABP56" s="39"/>
      <c r="ABQ56" s="39"/>
      <c r="ABR56" s="39"/>
      <c r="ABS56" s="39"/>
      <c r="ABT56" s="39"/>
      <c r="ABU56" s="39"/>
      <c r="ABV56" s="39"/>
      <c r="ABW56" s="39"/>
      <c r="ABX56" s="39"/>
      <c r="ABY56" s="39"/>
      <c r="ABZ56" s="39"/>
      <c r="ACA56" s="39"/>
      <c r="ACB56" s="39"/>
      <c r="ACC56" s="39"/>
      <c r="ACD56" s="39"/>
      <c r="ACE56" s="39"/>
      <c r="ACF56" s="39"/>
      <c r="ACG56" s="39"/>
      <c r="ACH56" s="39"/>
      <c r="ACI56" s="39"/>
      <c r="ACJ56" s="39"/>
      <c r="ACK56" s="39"/>
      <c r="ACL56" s="39"/>
      <c r="ACM56" s="39"/>
      <c r="ACN56" s="39"/>
      <c r="ACO56" s="39"/>
      <c r="ACP56" s="39"/>
      <c r="ACQ56" s="39"/>
      <c r="ACR56" s="39"/>
      <c r="ACS56" s="39"/>
      <c r="ACT56" s="39"/>
      <c r="ACU56" s="39"/>
      <c r="ACV56" s="39"/>
      <c r="ACW56" s="39"/>
      <c r="ACX56" s="39"/>
      <c r="ACY56" s="39"/>
      <c r="ACZ56" s="39"/>
      <c r="ADA56" s="39"/>
      <c r="ADB56" s="39"/>
      <c r="ADC56" s="39"/>
      <c r="ADD56" s="39"/>
      <c r="ADE56" s="39"/>
      <c r="ADF56" s="39"/>
      <c r="ADG56" s="39"/>
      <c r="ADH56" s="39"/>
      <c r="ADI56" s="39"/>
      <c r="ADJ56" s="39"/>
      <c r="ADK56" s="39"/>
      <c r="ADL56" s="39"/>
      <c r="ADM56" s="39"/>
      <c r="ADN56" s="39"/>
      <c r="ADO56" s="39"/>
      <c r="ADP56" s="39"/>
      <c r="ADQ56" s="39"/>
      <c r="ADR56" s="39"/>
      <c r="ADS56" s="39"/>
      <c r="ADT56" s="39"/>
      <c r="ADU56" s="39"/>
      <c r="ADV56" s="39"/>
      <c r="ADW56" s="39"/>
      <c r="ADX56" s="39"/>
      <c r="ADY56" s="39"/>
      <c r="ADZ56" s="39"/>
      <c r="AEA56" s="39"/>
      <c r="AEB56" s="39"/>
      <c r="AEC56" s="39"/>
      <c r="AED56" s="39"/>
      <c r="AEE56" s="39"/>
      <c r="AEF56" s="39"/>
      <c r="AEG56" s="39"/>
      <c r="AEH56" s="39"/>
      <c r="AEI56" s="39"/>
      <c r="AEJ56" s="39"/>
      <c r="AEK56" s="39"/>
      <c r="AEL56" s="39"/>
      <c r="AEM56" s="39"/>
      <c r="AEN56" s="39"/>
      <c r="AEO56" s="39"/>
      <c r="AEP56" s="39"/>
      <c r="AEQ56" s="39"/>
      <c r="AER56" s="39"/>
      <c r="AES56" s="39"/>
      <c r="AET56" s="39"/>
      <c r="AEU56" s="39"/>
      <c r="AEV56" s="39"/>
      <c r="AEW56" s="39"/>
      <c r="AEX56" s="39"/>
      <c r="AEY56" s="39"/>
      <c r="AEZ56" s="39"/>
      <c r="AFA56" s="39"/>
      <c r="AFB56" s="39"/>
      <c r="AFC56" s="39"/>
      <c r="AFD56" s="39"/>
      <c r="AFE56" s="39"/>
      <c r="AFF56" s="39"/>
      <c r="AFG56" s="39"/>
      <c r="AFH56" s="39"/>
      <c r="AFI56" s="39"/>
      <c r="AFJ56" s="39"/>
      <c r="AFK56" s="39"/>
      <c r="AFL56" s="39"/>
      <c r="AFM56" s="39"/>
      <c r="AFN56" s="39"/>
      <c r="AFO56" s="39"/>
      <c r="AFP56" s="39"/>
      <c r="AFQ56" s="39"/>
      <c r="AFR56" s="39"/>
      <c r="AFS56" s="39"/>
      <c r="AFT56" s="39"/>
      <c r="AFU56" s="39"/>
      <c r="AFV56" s="39"/>
      <c r="AFW56" s="39"/>
      <c r="AFX56" s="39"/>
      <c r="AFY56" s="39"/>
      <c r="AFZ56" s="39"/>
      <c r="AGA56" s="39"/>
      <c r="AGB56" s="39"/>
      <c r="AGC56" s="39"/>
      <c r="AGD56" s="39"/>
      <c r="AGE56" s="39"/>
      <c r="AGF56" s="39"/>
      <c r="AGG56" s="39"/>
      <c r="AGH56" s="39"/>
      <c r="AGI56" s="39"/>
      <c r="AGJ56" s="39"/>
      <c r="AGK56" s="39"/>
      <c r="AGL56" s="39"/>
      <c r="AGM56" s="39"/>
      <c r="AGN56" s="39"/>
      <c r="AGO56" s="39"/>
      <c r="AGP56" s="39"/>
      <c r="AGQ56" s="39"/>
      <c r="AGR56" s="39"/>
      <c r="AGS56" s="39"/>
      <c r="AGT56" s="39"/>
      <c r="AGU56" s="39"/>
      <c r="AGV56" s="39"/>
      <c r="AGW56" s="39"/>
      <c r="AGX56" s="39"/>
      <c r="AGY56" s="39"/>
      <c r="AGZ56" s="39"/>
      <c r="AHA56" s="39"/>
      <c r="AHB56" s="39"/>
      <c r="AHC56" s="39"/>
      <c r="AHD56" s="39"/>
      <c r="AHE56" s="39"/>
      <c r="AHF56" s="39"/>
      <c r="AHG56" s="39"/>
      <c r="AHH56" s="39"/>
      <c r="AHI56" s="39"/>
      <c r="AHJ56" s="39"/>
      <c r="AHK56" s="39"/>
      <c r="AHL56" s="39"/>
      <c r="AHM56" s="39"/>
      <c r="AHN56" s="39"/>
      <c r="AHO56" s="39"/>
      <c r="AHP56" s="39"/>
      <c r="AHQ56" s="39"/>
      <c r="AHR56" s="39"/>
      <c r="AHS56" s="39"/>
      <c r="AHT56" s="39"/>
      <c r="AHU56" s="39"/>
      <c r="AHV56" s="39"/>
      <c r="AHW56" s="39"/>
      <c r="AHX56" s="39"/>
      <c r="AHY56" s="39"/>
      <c r="AHZ56" s="39"/>
      <c r="AIA56" s="39"/>
      <c r="AIB56" s="39"/>
      <c r="AIC56" s="39"/>
      <c r="AID56" s="39"/>
      <c r="AIE56" s="39"/>
      <c r="AIF56" s="39"/>
      <c r="AIG56" s="39"/>
      <c r="AIH56" s="39"/>
      <c r="AII56" s="39"/>
      <c r="AIJ56" s="39"/>
      <c r="AIK56" s="39"/>
      <c r="AIL56" s="39"/>
      <c r="AIM56" s="39"/>
      <c r="AIN56" s="39"/>
      <c r="AIO56" s="39"/>
      <c r="AIP56" s="39"/>
      <c r="AIQ56" s="39"/>
      <c r="AIR56" s="39"/>
      <c r="AIS56" s="39"/>
      <c r="AIT56" s="39"/>
      <c r="AIU56" s="39"/>
      <c r="AIV56" s="39"/>
      <c r="AIW56" s="39"/>
      <c r="AIX56" s="39"/>
      <c r="AIY56" s="39"/>
      <c r="AIZ56" s="39"/>
      <c r="AJA56" s="39"/>
      <c r="AJB56" s="39"/>
      <c r="AJC56" s="39"/>
      <c r="AJD56" s="39"/>
      <c r="AJE56" s="39"/>
      <c r="AJF56" s="39"/>
      <c r="AJG56" s="39"/>
      <c r="AJH56" s="39"/>
      <c r="AJI56" s="39"/>
      <c r="AJJ56" s="39"/>
      <c r="AJK56" s="39"/>
      <c r="AJL56" s="39"/>
      <c r="AJM56" s="39"/>
      <c r="AJN56" s="39"/>
      <c r="AJO56" s="39"/>
      <c r="AJP56" s="39"/>
      <c r="AJQ56" s="39"/>
      <c r="AJR56" s="39"/>
      <c r="AJS56" s="39"/>
      <c r="AJT56" s="39"/>
      <c r="AJU56" s="39"/>
      <c r="AJV56" s="39"/>
      <c r="AJW56" s="39"/>
      <c r="AJX56" s="39"/>
      <c r="AJY56" s="39"/>
      <c r="AJZ56" s="39"/>
      <c r="AKA56" s="39"/>
      <c r="AKB56" s="39"/>
      <c r="AKC56" s="39"/>
      <c r="AKD56" s="39"/>
      <c r="AKE56" s="39"/>
      <c r="AKF56" s="39"/>
      <c r="AKG56" s="39"/>
      <c r="AKH56" s="39"/>
      <c r="AKI56" s="39"/>
      <c r="AKJ56" s="39"/>
      <c r="AKK56" s="39"/>
      <c r="AKL56" s="39"/>
      <c r="AKM56" s="39"/>
      <c r="AKN56" s="39"/>
      <c r="AKO56" s="39"/>
      <c r="AKP56" s="39"/>
      <c r="AKQ56" s="39"/>
      <c r="AKR56" s="39"/>
      <c r="AKS56" s="39"/>
      <c r="AKT56" s="39"/>
      <c r="AKU56" s="39"/>
      <c r="AKV56" s="39"/>
      <c r="AKW56" s="39"/>
      <c r="AKX56" s="39"/>
      <c r="AKY56" s="39"/>
      <c r="AKZ56" s="39"/>
      <c r="ALA56" s="39"/>
      <c r="ALB56" s="39"/>
      <c r="ALC56" s="39"/>
      <c r="ALD56" s="39"/>
      <c r="ALE56" s="39"/>
      <c r="ALF56" s="39"/>
      <c r="ALG56" s="39"/>
      <c r="ALH56" s="39"/>
      <c r="ALI56" s="39"/>
      <c r="ALJ56" s="39"/>
      <c r="ALK56" s="39"/>
      <c r="ALL56" s="39"/>
      <c r="ALM56" s="39"/>
      <c r="ALN56" s="39"/>
      <c r="ALO56" s="39"/>
      <c r="ALP56" s="39"/>
    </row>
    <row r="57" spans="1:1004" s="39" customFormat="1" ht="11.45" customHeight="1">
      <c r="A57" s="23"/>
      <c r="B57" s="24"/>
      <c r="C57" s="30"/>
      <c r="D57" s="25"/>
      <c r="E57" s="26"/>
      <c r="F57" s="27" t="s">
        <v>15</v>
      </c>
      <c r="G57" s="28">
        <f>SUM(G55:G56)</f>
        <v>53</v>
      </c>
      <c r="H57" s="29"/>
    </row>
    <row r="58" spans="1:1004" s="39" customFormat="1" ht="11.45" customHeight="1">
      <c r="A58" s="914"/>
      <c r="B58" s="915"/>
      <c r="C58" s="916"/>
      <c r="D58" s="917"/>
      <c r="E58" s="918"/>
      <c r="F58" s="919" t="s">
        <v>16</v>
      </c>
      <c r="G58" s="920">
        <v>1.2</v>
      </c>
      <c r="H58" s="921"/>
    </row>
    <row r="59" spans="1:1004" s="39" customFormat="1" ht="11.45" customHeight="1">
      <c r="A59" s="922"/>
      <c r="B59" s="923"/>
      <c r="C59" s="924"/>
      <c r="D59" s="925"/>
      <c r="E59" s="926"/>
      <c r="F59" s="927" t="s">
        <v>17</v>
      </c>
      <c r="G59" s="928">
        <f>G57*G58</f>
        <v>63.599999999999994</v>
      </c>
      <c r="H59" s="929"/>
    </row>
    <row r="60" spans="1:1004" s="39" customFormat="1" ht="13.5">
      <c r="A60" s="802" t="s">
        <v>292</v>
      </c>
      <c r="B60" s="149"/>
      <c r="C60" s="150"/>
      <c r="D60" s="151"/>
      <c r="E60" s="151"/>
      <c r="F60" s="152"/>
      <c r="G60" s="152"/>
      <c r="H60" s="849"/>
    </row>
    <row r="61" spans="1:1004" s="102" customFormat="1" ht="13.5">
      <c r="A61" s="903"/>
      <c r="B61" s="904"/>
      <c r="C61" s="930" t="s">
        <v>275</v>
      </c>
      <c r="D61" s="906"/>
      <c r="E61" s="931">
        <v>0</v>
      </c>
      <c r="F61" s="937">
        <v>10</v>
      </c>
      <c r="G61" s="908">
        <f>E61*F61</f>
        <v>0</v>
      </c>
      <c r="H61" s="933"/>
    </row>
    <row r="62" spans="1:1004" s="102" customFormat="1" ht="13.5">
      <c r="A62" s="903"/>
      <c r="B62" s="904"/>
      <c r="C62" s="930" t="s">
        <v>293</v>
      </c>
      <c r="D62" s="906"/>
      <c r="E62" s="931">
        <v>1</v>
      </c>
      <c r="F62" s="937">
        <v>24</v>
      </c>
      <c r="G62" s="908">
        <f>E62*F62</f>
        <v>24</v>
      </c>
      <c r="H62" s="933"/>
    </row>
    <row r="63" spans="1:1004" s="42" customFormat="1" ht="13.5">
      <c r="A63" s="938"/>
      <c r="B63" s="904"/>
      <c r="C63" s="930" t="s">
        <v>294</v>
      </c>
      <c r="D63" s="906"/>
      <c r="E63" s="931">
        <v>1</v>
      </c>
      <c r="F63" s="937">
        <v>35</v>
      </c>
      <c r="G63" s="908">
        <f>E63*F63</f>
        <v>35</v>
      </c>
      <c r="H63" s="933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9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  <c r="NR63" s="39"/>
      <c r="NS63" s="39"/>
      <c r="NT63" s="39"/>
      <c r="NU63" s="39"/>
      <c r="NV63" s="39"/>
      <c r="NW63" s="39"/>
      <c r="NX63" s="39"/>
      <c r="NY63" s="39"/>
      <c r="NZ63" s="39"/>
      <c r="OA63" s="39"/>
      <c r="OB63" s="39"/>
      <c r="OC63" s="39"/>
      <c r="OD63" s="39"/>
      <c r="OE63" s="39"/>
      <c r="OF63" s="39"/>
      <c r="OG63" s="39"/>
      <c r="OH63" s="39"/>
      <c r="OI63" s="39"/>
      <c r="OJ63" s="39"/>
      <c r="OK63" s="39"/>
      <c r="OL63" s="39"/>
      <c r="OM63" s="39"/>
      <c r="ON63" s="39"/>
      <c r="OO63" s="39"/>
      <c r="OP63" s="39"/>
      <c r="OQ63" s="39"/>
      <c r="OR63" s="39"/>
      <c r="OS63" s="39"/>
      <c r="OT63" s="39"/>
      <c r="OU63" s="39"/>
      <c r="OV63" s="39"/>
      <c r="OW63" s="39"/>
      <c r="OX63" s="39"/>
      <c r="OY63" s="39"/>
      <c r="OZ63" s="39"/>
      <c r="PA63" s="39"/>
      <c r="PB63" s="39"/>
      <c r="PC63" s="39"/>
      <c r="PD63" s="39"/>
      <c r="PE63" s="39"/>
      <c r="PF63" s="39"/>
      <c r="PG63" s="39"/>
      <c r="PH63" s="39"/>
      <c r="PI63" s="39"/>
      <c r="PJ63" s="39"/>
      <c r="PK63" s="39"/>
      <c r="PL63" s="39"/>
      <c r="PM63" s="39"/>
      <c r="PN63" s="39"/>
      <c r="PO63" s="39"/>
      <c r="PP63" s="39"/>
      <c r="PQ63" s="39"/>
      <c r="PR63" s="39"/>
      <c r="PS63" s="39"/>
      <c r="PT63" s="39"/>
      <c r="PU63" s="39"/>
      <c r="PV63" s="39"/>
      <c r="PW63" s="39"/>
      <c r="PX63" s="39"/>
      <c r="PY63" s="39"/>
      <c r="PZ63" s="39"/>
      <c r="QA63" s="39"/>
      <c r="QB63" s="39"/>
      <c r="QC63" s="39"/>
      <c r="QD63" s="39"/>
      <c r="QE63" s="39"/>
      <c r="QF63" s="39"/>
      <c r="QG63" s="39"/>
      <c r="QH63" s="39"/>
      <c r="QI63" s="39"/>
      <c r="QJ63" s="39"/>
      <c r="QK63" s="39"/>
      <c r="QL63" s="39"/>
      <c r="QM63" s="39"/>
      <c r="QN63" s="39"/>
      <c r="QO63" s="39"/>
      <c r="QP63" s="39"/>
      <c r="QQ63" s="39"/>
      <c r="QR63" s="39"/>
      <c r="QS63" s="39"/>
      <c r="QT63" s="39"/>
      <c r="QU63" s="39"/>
      <c r="QV63" s="39"/>
      <c r="QW63" s="39"/>
      <c r="QX63" s="39"/>
      <c r="QY63" s="39"/>
      <c r="QZ63" s="39"/>
      <c r="RA63" s="39"/>
      <c r="RB63" s="39"/>
      <c r="RC63" s="39"/>
      <c r="RD63" s="39"/>
      <c r="RE63" s="39"/>
      <c r="RF63" s="39"/>
      <c r="RG63" s="39"/>
      <c r="RH63" s="39"/>
      <c r="RI63" s="39"/>
      <c r="RJ63" s="39"/>
      <c r="RK63" s="39"/>
      <c r="RL63" s="39"/>
      <c r="RM63" s="39"/>
      <c r="RN63" s="39"/>
      <c r="RO63" s="39"/>
      <c r="RP63" s="39"/>
      <c r="RQ63" s="39"/>
      <c r="RR63" s="39"/>
      <c r="RS63" s="39"/>
      <c r="RT63" s="39"/>
      <c r="RU63" s="39"/>
      <c r="RV63" s="39"/>
      <c r="RW63" s="39"/>
      <c r="RX63" s="39"/>
      <c r="RY63" s="39"/>
      <c r="RZ63" s="39"/>
      <c r="SA63" s="39"/>
      <c r="SB63" s="39"/>
      <c r="SC63" s="39"/>
      <c r="SD63" s="39"/>
      <c r="SE63" s="39"/>
      <c r="SF63" s="39"/>
      <c r="SG63" s="39"/>
      <c r="SH63" s="39"/>
      <c r="SI63" s="39"/>
      <c r="SJ63" s="39"/>
      <c r="SK63" s="39"/>
      <c r="SL63" s="39"/>
      <c r="SM63" s="39"/>
      <c r="SN63" s="39"/>
      <c r="SO63" s="39"/>
      <c r="SP63" s="39"/>
      <c r="SQ63" s="39"/>
      <c r="SR63" s="39"/>
      <c r="SS63" s="39"/>
      <c r="ST63" s="39"/>
      <c r="SU63" s="39"/>
      <c r="SV63" s="39"/>
      <c r="SW63" s="39"/>
      <c r="SX63" s="39"/>
      <c r="SY63" s="39"/>
      <c r="SZ63" s="39"/>
      <c r="TA63" s="39"/>
      <c r="TB63" s="39"/>
      <c r="TC63" s="39"/>
      <c r="TD63" s="39"/>
      <c r="TE63" s="39"/>
      <c r="TF63" s="39"/>
      <c r="TG63" s="39"/>
      <c r="TH63" s="39"/>
      <c r="TI63" s="39"/>
      <c r="TJ63" s="39"/>
      <c r="TK63" s="39"/>
      <c r="TL63" s="39"/>
      <c r="TM63" s="39"/>
      <c r="TN63" s="39"/>
      <c r="TO63" s="39"/>
      <c r="TP63" s="39"/>
      <c r="TQ63" s="39"/>
      <c r="TR63" s="39"/>
      <c r="TS63" s="39"/>
      <c r="TT63" s="39"/>
      <c r="TU63" s="39"/>
      <c r="TV63" s="39"/>
      <c r="TW63" s="39"/>
      <c r="TX63" s="39"/>
      <c r="TY63" s="39"/>
      <c r="TZ63" s="39"/>
      <c r="UA63" s="39"/>
      <c r="UB63" s="39"/>
      <c r="UC63" s="39"/>
      <c r="UD63" s="39"/>
      <c r="UE63" s="39"/>
      <c r="UF63" s="39"/>
      <c r="UG63" s="39"/>
      <c r="UH63" s="39"/>
      <c r="UI63" s="39"/>
      <c r="UJ63" s="39"/>
      <c r="UK63" s="39"/>
      <c r="UL63" s="39"/>
      <c r="UM63" s="39"/>
      <c r="UN63" s="39"/>
      <c r="UO63" s="39"/>
      <c r="UP63" s="39"/>
      <c r="UQ63" s="39"/>
      <c r="UR63" s="39"/>
      <c r="US63" s="39"/>
      <c r="UT63" s="39"/>
      <c r="UU63" s="39"/>
      <c r="UV63" s="39"/>
      <c r="UW63" s="39"/>
      <c r="UX63" s="39"/>
      <c r="UY63" s="39"/>
      <c r="UZ63" s="39"/>
      <c r="VA63" s="39"/>
      <c r="VB63" s="39"/>
      <c r="VC63" s="39"/>
      <c r="VD63" s="39"/>
      <c r="VE63" s="39"/>
      <c r="VF63" s="39"/>
      <c r="VG63" s="39"/>
      <c r="VH63" s="39"/>
      <c r="VI63" s="39"/>
      <c r="VJ63" s="39"/>
      <c r="VK63" s="39"/>
      <c r="VL63" s="39"/>
      <c r="VM63" s="39"/>
      <c r="VN63" s="39"/>
      <c r="VO63" s="39"/>
      <c r="VP63" s="39"/>
      <c r="VQ63" s="39"/>
      <c r="VR63" s="39"/>
      <c r="VS63" s="39"/>
      <c r="VT63" s="39"/>
      <c r="VU63" s="39"/>
      <c r="VV63" s="39"/>
      <c r="VW63" s="39"/>
      <c r="VX63" s="39"/>
      <c r="VY63" s="39"/>
      <c r="VZ63" s="39"/>
      <c r="WA63" s="39"/>
      <c r="WB63" s="39"/>
      <c r="WC63" s="39"/>
      <c r="WD63" s="39"/>
      <c r="WE63" s="39"/>
      <c r="WF63" s="39"/>
      <c r="WG63" s="39"/>
      <c r="WH63" s="39"/>
      <c r="WI63" s="39"/>
      <c r="WJ63" s="39"/>
      <c r="WK63" s="39"/>
      <c r="WL63" s="39"/>
      <c r="WM63" s="39"/>
      <c r="WN63" s="39"/>
      <c r="WO63" s="39"/>
      <c r="WP63" s="39"/>
      <c r="WQ63" s="39"/>
      <c r="WR63" s="39"/>
      <c r="WS63" s="39"/>
      <c r="WT63" s="39"/>
      <c r="WU63" s="39"/>
      <c r="WV63" s="39"/>
      <c r="WW63" s="39"/>
      <c r="WX63" s="39"/>
      <c r="WY63" s="39"/>
      <c r="WZ63" s="39"/>
      <c r="XA63" s="39"/>
      <c r="XB63" s="39"/>
      <c r="XC63" s="39"/>
      <c r="XD63" s="39"/>
      <c r="XE63" s="39"/>
      <c r="XF63" s="39"/>
      <c r="XG63" s="39"/>
      <c r="XH63" s="39"/>
      <c r="XI63" s="39"/>
      <c r="XJ63" s="39"/>
      <c r="XK63" s="39"/>
      <c r="XL63" s="39"/>
      <c r="XM63" s="39"/>
      <c r="XN63" s="39"/>
      <c r="XO63" s="39"/>
      <c r="XP63" s="39"/>
      <c r="XQ63" s="39"/>
      <c r="XR63" s="39"/>
      <c r="XS63" s="39"/>
      <c r="XT63" s="39"/>
      <c r="XU63" s="39"/>
      <c r="XV63" s="39"/>
      <c r="XW63" s="39"/>
      <c r="XX63" s="39"/>
      <c r="XY63" s="39"/>
      <c r="XZ63" s="39"/>
      <c r="YA63" s="39"/>
      <c r="YB63" s="39"/>
      <c r="YC63" s="39"/>
      <c r="YD63" s="39"/>
      <c r="YE63" s="39"/>
      <c r="YF63" s="39"/>
      <c r="YG63" s="39"/>
      <c r="YH63" s="39"/>
      <c r="YI63" s="39"/>
      <c r="YJ63" s="39"/>
      <c r="YK63" s="39"/>
      <c r="YL63" s="39"/>
      <c r="YM63" s="39"/>
      <c r="YN63" s="39"/>
      <c r="YO63" s="39"/>
      <c r="YP63" s="39"/>
      <c r="YQ63" s="39"/>
      <c r="YR63" s="39"/>
      <c r="YS63" s="39"/>
      <c r="YT63" s="39"/>
      <c r="YU63" s="39"/>
      <c r="YV63" s="39"/>
      <c r="YW63" s="39"/>
      <c r="YX63" s="39"/>
      <c r="YY63" s="39"/>
      <c r="YZ63" s="39"/>
      <c r="ZA63" s="39"/>
      <c r="ZB63" s="39"/>
      <c r="ZC63" s="39"/>
      <c r="ZD63" s="39"/>
      <c r="ZE63" s="39"/>
      <c r="ZF63" s="39"/>
      <c r="ZG63" s="39"/>
      <c r="ZH63" s="39"/>
      <c r="ZI63" s="39"/>
      <c r="ZJ63" s="39"/>
      <c r="ZK63" s="39"/>
      <c r="ZL63" s="39"/>
      <c r="ZM63" s="39"/>
      <c r="ZN63" s="39"/>
      <c r="ZO63" s="39"/>
      <c r="ZP63" s="39"/>
      <c r="ZQ63" s="39"/>
      <c r="ZR63" s="39"/>
      <c r="ZS63" s="39"/>
      <c r="ZT63" s="39"/>
      <c r="ZU63" s="39"/>
      <c r="ZV63" s="39"/>
      <c r="ZW63" s="39"/>
      <c r="ZX63" s="39"/>
      <c r="ZY63" s="39"/>
      <c r="ZZ63" s="39"/>
      <c r="AAA63" s="39"/>
      <c r="AAB63" s="39"/>
      <c r="AAC63" s="39"/>
      <c r="AAD63" s="39"/>
      <c r="AAE63" s="39"/>
      <c r="AAF63" s="39"/>
      <c r="AAG63" s="39"/>
      <c r="AAH63" s="39"/>
      <c r="AAI63" s="39"/>
      <c r="AAJ63" s="39"/>
      <c r="AAK63" s="39"/>
      <c r="AAL63" s="39"/>
      <c r="AAM63" s="39"/>
      <c r="AAN63" s="39"/>
      <c r="AAO63" s="39"/>
      <c r="AAP63" s="39"/>
      <c r="AAQ63" s="39"/>
      <c r="AAR63" s="39"/>
      <c r="AAS63" s="39"/>
      <c r="AAT63" s="39"/>
      <c r="AAU63" s="39"/>
      <c r="AAV63" s="39"/>
      <c r="AAW63" s="39"/>
      <c r="AAX63" s="39"/>
      <c r="AAY63" s="39"/>
      <c r="AAZ63" s="39"/>
      <c r="ABA63" s="39"/>
      <c r="ABB63" s="39"/>
      <c r="ABC63" s="39"/>
      <c r="ABD63" s="39"/>
      <c r="ABE63" s="39"/>
      <c r="ABF63" s="39"/>
      <c r="ABG63" s="39"/>
      <c r="ABH63" s="39"/>
      <c r="ABI63" s="39"/>
      <c r="ABJ63" s="39"/>
      <c r="ABK63" s="39"/>
      <c r="ABL63" s="39"/>
      <c r="ABM63" s="39"/>
      <c r="ABN63" s="39"/>
      <c r="ABO63" s="39"/>
      <c r="ABP63" s="39"/>
      <c r="ABQ63" s="39"/>
      <c r="ABR63" s="39"/>
      <c r="ABS63" s="39"/>
      <c r="ABT63" s="39"/>
      <c r="ABU63" s="39"/>
      <c r="ABV63" s="39"/>
      <c r="ABW63" s="39"/>
      <c r="ABX63" s="39"/>
      <c r="ABY63" s="39"/>
      <c r="ABZ63" s="39"/>
      <c r="ACA63" s="39"/>
      <c r="ACB63" s="39"/>
      <c r="ACC63" s="39"/>
      <c r="ACD63" s="39"/>
      <c r="ACE63" s="39"/>
      <c r="ACF63" s="39"/>
      <c r="ACG63" s="39"/>
      <c r="ACH63" s="39"/>
      <c r="ACI63" s="39"/>
      <c r="ACJ63" s="39"/>
      <c r="ACK63" s="39"/>
      <c r="ACL63" s="39"/>
      <c r="ACM63" s="39"/>
      <c r="ACN63" s="39"/>
      <c r="ACO63" s="39"/>
      <c r="ACP63" s="39"/>
      <c r="ACQ63" s="39"/>
      <c r="ACR63" s="39"/>
      <c r="ACS63" s="39"/>
      <c r="ACT63" s="39"/>
      <c r="ACU63" s="39"/>
      <c r="ACV63" s="39"/>
      <c r="ACW63" s="39"/>
      <c r="ACX63" s="39"/>
      <c r="ACY63" s="39"/>
      <c r="ACZ63" s="39"/>
      <c r="ADA63" s="39"/>
      <c r="ADB63" s="39"/>
      <c r="ADC63" s="39"/>
      <c r="ADD63" s="39"/>
      <c r="ADE63" s="39"/>
      <c r="ADF63" s="39"/>
      <c r="ADG63" s="39"/>
      <c r="ADH63" s="39"/>
      <c r="ADI63" s="39"/>
      <c r="ADJ63" s="39"/>
      <c r="ADK63" s="39"/>
      <c r="ADL63" s="39"/>
      <c r="ADM63" s="39"/>
      <c r="ADN63" s="39"/>
      <c r="ADO63" s="39"/>
      <c r="ADP63" s="39"/>
      <c r="ADQ63" s="39"/>
      <c r="ADR63" s="39"/>
      <c r="ADS63" s="39"/>
      <c r="ADT63" s="39"/>
      <c r="ADU63" s="39"/>
      <c r="ADV63" s="39"/>
      <c r="ADW63" s="39"/>
      <c r="ADX63" s="39"/>
      <c r="ADY63" s="39"/>
      <c r="ADZ63" s="39"/>
      <c r="AEA63" s="39"/>
      <c r="AEB63" s="39"/>
      <c r="AEC63" s="39"/>
      <c r="AED63" s="39"/>
      <c r="AEE63" s="39"/>
      <c r="AEF63" s="39"/>
      <c r="AEG63" s="39"/>
      <c r="AEH63" s="39"/>
      <c r="AEI63" s="39"/>
      <c r="AEJ63" s="39"/>
      <c r="AEK63" s="39"/>
      <c r="AEL63" s="39"/>
      <c r="AEM63" s="39"/>
      <c r="AEN63" s="39"/>
      <c r="AEO63" s="39"/>
      <c r="AEP63" s="39"/>
      <c r="AEQ63" s="39"/>
      <c r="AER63" s="39"/>
      <c r="AES63" s="39"/>
      <c r="AET63" s="39"/>
      <c r="AEU63" s="39"/>
      <c r="AEV63" s="39"/>
      <c r="AEW63" s="39"/>
      <c r="AEX63" s="39"/>
      <c r="AEY63" s="39"/>
      <c r="AEZ63" s="39"/>
      <c r="AFA63" s="39"/>
      <c r="AFB63" s="39"/>
      <c r="AFC63" s="39"/>
      <c r="AFD63" s="39"/>
      <c r="AFE63" s="39"/>
      <c r="AFF63" s="39"/>
      <c r="AFG63" s="39"/>
      <c r="AFH63" s="39"/>
      <c r="AFI63" s="39"/>
      <c r="AFJ63" s="39"/>
      <c r="AFK63" s="39"/>
      <c r="AFL63" s="39"/>
      <c r="AFM63" s="39"/>
      <c r="AFN63" s="39"/>
      <c r="AFO63" s="39"/>
      <c r="AFP63" s="39"/>
      <c r="AFQ63" s="39"/>
      <c r="AFR63" s="39"/>
      <c r="AFS63" s="39"/>
      <c r="AFT63" s="39"/>
      <c r="AFU63" s="39"/>
      <c r="AFV63" s="39"/>
      <c r="AFW63" s="39"/>
      <c r="AFX63" s="39"/>
      <c r="AFY63" s="39"/>
      <c r="AFZ63" s="39"/>
      <c r="AGA63" s="39"/>
      <c r="AGB63" s="39"/>
      <c r="AGC63" s="39"/>
      <c r="AGD63" s="39"/>
      <c r="AGE63" s="39"/>
      <c r="AGF63" s="39"/>
      <c r="AGG63" s="39"/>
      <c r="AGH63" s="39"/>
      <c r="AGI63" s="39"/>
      <c r="AGJ63" s="39"/>
      <c r="AGK63" s="39"/>
      <c r="AGL63" s="39"/>
      <c r="AGM63" s="39"/>
      <c r="AGN63" s="39"/>
      <c r="AGO63" s="39"/>
      <c r="AGP63" s="39"/>
      <c r="AGQ63" s="39"/>
      <c r="AGR63" s="39"/>
      <c r="AGS63" s="39"/>
      <c r="AGT63" s="39"/>
      <c r="AGU63" s="39"/>
      <c r="AGV63" s="39"/>
      <c r="AGW63" s="39"/>
      <c r="AGX63" s="39"/>
      <c r="AGY63" s="39"/>
      <c r="AGZ63" s="39"/>
      <c r="AHA63" s="39"/>
      <c r="AHB63" s="39"/>
      <c r="AHC63" s="39"/>
      <c r="AHD63" s="39"/>
      <c r="AHE63" s="39"/>
      <c r="AHF63" s="39"/>
      <c r="AHG63" s="39"/>
      <c r="AHH63" s="39"/>
      <c r="AHI63" s="39"/>
      <c r="AHJ63" s="39"/>
      <c r="AHK63" s="39"/>
      <c r="AHL63" s="39"/>
      <c r="AHM63" s="39"/>
      <c r="AHN63" s="39"/>
      <c r="AHO63" s="39"/>
      <c r="AHP63" s="39"/>
      <c r="AHQ63" s="39"/>
      <c r="AHR63" s="39"/>
      <c r="AHS63" s="39"/>
      <c r="AHT63" s="39"/>
      <c r="AHU63" s="39"/>
      <c r="AHV63" s="39"/>
      <c r="AHW63" s="39"/>
      <c r="AHX63" s="39"/>
      <c r="AHY63" s="39"/>
      <c r="AHZ63" s="39"/>
      <c r="AIA63" s="39"/>
      <c r="AIB63" s="39"/>
      <c r="AIC63" s="39"/>
      <c r="AID63" s="39"/>
      <c r="AIE63" s="39"/>
      <c r="AIF63" s="39"/>
      <c r="AIG63" s="39"/>
      <c r="AIH63" s="39"/>
      <c r="AII63" s="39"/>
      <c r="AIJ63" s="39"/>
      <c r="AIK63" s="39"/>
      <c r="AIL63" s="39"/>
      <c r="AIM63" s="39"/>
      <c r="AIN63" s="39"/>
      <c r="AIO63" s="39"/>
      <c r="AIP63" s="39"/>
      <c r="AIQ63" s="39"/>
      <c r="AIR63" s="39"/>
      <c r="AIS63" s="39"/>
      <c r="AIT63" s="39"/>
      <c r="AIU63" s="39"/>
      <c r="AIV63" s="39"/>
      <c r="AIW63" s="39"/>
      <c r="AIX63" s="39"/>
      <c r="AIY63" s="39"/>
      <c r="AIZ63" s="39"/>
      <c r="AJA63" s="39"/>
      <c r="AJB63" s="39"/>
      <c r="AJC63" s="39"/>
      <c r="AJD63" s="39"/>
      <c r="AJE63" s="39"/>
      <c r="AJF63" s="39"/>
      <c r="AJG63" s="39"/>
      <c r="AJH63" s="39"/>
      <c r="AJI63" s="39"/>
      <c r="AJJ63" s="39"/>
      <c r="AJK63" s="39"/>
      <c r="AJL63" s="39"/>
      <c r="AJM63" s="39"/>
      <c r="AJN63" s="39"/>
      <c r="AJO63" s="39"/>
      <c r="AJP63" s="39"/>
      <c r="AJQ63" s="39"/>
      <c r="AJR63" s="39"/>
      <c r="AJS63" s="39"/>
      <c r="AJT63" s="39"/>
      <c r="AJU63" s="39"/>
      <c r="AJV63" s="39"/>
      <c r="AJW63" s="39"/>
      <c r="AJX63" s="39"/>
      <c r="AJY63" s="39"/>
      <c r="AJZ63" s="39"/>
      <c r="AKA63" s="39"/>
      <c r="AKB63" s="39"/>
      <c r="AKC63" s="39"/>
      <c r="AKD63" s="39"/>
      <c r="AKE63" s="39"/>
      <c r="AKF63" s="39"/>
      <c r="AKG63" s="39"/>
      <c r="AKH63" s="39"/>
      <c r="AKI63" s="39"/>
      <c r="AKJ63" s="39"/>
      <c r="AKK63" s="39"/>
      <c r="AKL63" s="39"/>
      <c r="AKM63" s="39"/>
      <c r="AKN63" s="39"/>
      <c r="AKO63" s="39"/>
      <c r="AKP63" s="39"/>
      <c r="AKQ63" s="39"/>
      <c r="AKR63" s="39"/>
      <c r="AKS63" s="39"/>
      <c r="AKT63" s="39"/>
      <c r="AKU63" s="39"/>
      <c r="AKV63" s="39"/>
      <c r="AKW63" s="39"/>
      <c r="AKX63" s="39"/>
      <c r="AKY63" s="39"/>
      <c r="AKZ63" s="39"/>
      <c r="ALA63" s="39"/>
      <c r="ALB63" s="39"/>
      <c r="ALC63" s="39"/>
      <c r="ALD63" s="39"/>
      <c r="ALE63" s="39"/>
      <c r="ALF63" s="39"/>
      <c r="ALG63" s="39"/>
      <c r="ALH63" s="39"/>
      <c r="ALI63" s="39"/>
      <c r="ALJ63" s="39"/>
      <c r="ALK63" s="39"/>
      <c r="ALL63" s="39"/>
      <c r="ALM63" s="39"/>
      <c r="ALN63" s="39"/>
      <c r="ALO63" s="39"/>
      <c r="ALP63" s="39"/>
    </row>
    <row r="64" spans="1:1004" s="102" customFormat="1" ht="13.5">
      <c r="A64" s="903"/>
      <c r="B64" s="904"/>
      <c r="C64" s="930" t="s">
        <v>295</v>
      </c>
      <c r="D64" s="906"/>
      <c r="E64" s="931">
        <v>0</v>
      </c>
      <c r="F64" s="937">
        <v>12</v>
      </c>
      <c r="G64" s="908">
        <f>E64*F64</f>
        <v>0</v>
      </c>
      <c r="H64" s="933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  <c r="NR64" s="39"/>
      <c r="NS64" s="39"/>
      <c r="NT64" s="39"/>
      <c r="NU64" s="39"/>
      <c r="NV64" s="39"/>
      <c r="NW64" s="39"/>
      <c r="NX64" s="39"/>
      <c r="NY64" s="39"/>
      <c r="NZ64" s="39"/>
      <c r="OA64" s="39"/>
      <c r="OB64" s="39"/>
      <c r="OC64" s="39"/>
      <c r="OD64" s="39"/>
      <c r="OE64" s="39"/>
      <c r="OF64" s="39"/>
      <c r="OG64" s="39"/>
      <c r="OH64" s="39"/>
      <c r="OI64" s="39"/>
      <c r="OJ64" s="39"/>
      <c r="OK64" s="39"/>
      <c r="OL64" s="39"/>
      <c r="OM64" s="39"/>
      <c r="ON64" s="39"/>
      <c r="OO64" s="39"/>
      <c r="OP64" s="39"/>
      <c r="OQ64" s="39"/>
      <c r="OR64" s="39"/>
      <c r="OS64" s="39"/>
      <c r="OT64" s="39"/>
      <c r="OU64" s="39"/>
      <c r="OV64" s="39"/>
      <c r="OW64" s="39"/>
      <c r="OX64" s="39"/>
      <c r="OY64" s="39"/>
      <c r="OZ64" s="39"/>
      <c r="PA64" s="39"/>
      <c r="PB64" s="39"/>
      <c r="PC64" s="39"/>
      <c r="PD64" s="39"/>
      <c r="PE64" s="39"/>
      <c r="PF64" s="39"/>
      <c r="PG64" s="39"/>
      <c r="PH64" s="39"/>
      <c r="PI64" s="39"/>
      <c r="PJ64" s="39"/>
      <c r="PK64" s="39"/>
      <c r="PL64" s="39"/>
      <c r="PM64" s="39"/>
      <c r="PN64" s="39"/>
      <c r="PO64" s="39"/>
      <c r="PP64" s="39"/>
      <c r="PQ64" s="39"/>
      <c r="PR64" s="39"/>
      <c r="PS64" s="39"/>
      <c r="PT64" s="39"/>
      <c r="PU64" s="39"/>
      <c r="PV64" s="39"/>
      <c r="PW64" s="39"/>
      <c r="PX64" s="39"/>
      <c r="PY64" s="39"/>
      <c r="PZ64" s="39"/>
      <c r="QA64" s="39"/>
      <c r="QB64" s="39"/>
      <c r="QC64" s="39"/>
      <c r="QD64" s="39"/>
      <c r="QE64" s="39"/>
      <c r="QF64" s="39"/>
      <c r="QG64" s="39"/>
      <c r="QH64" s="39"/>
      <c r="QI64" s="39"/>
      <c r="QJ64" s="39"/>
      <c r="QK64" s="39"/>
      <c r="QL64" s="39"/>
      <c r="QM64" s="39"/>
      <c r="QN64" s="39"/>
      <c r="QO64" s="39"/>
      <c r="QP64" s="39"/>
      <c r="QQ64" s="39"/>
      <c r="QR64" s="39"/>
      <c r="QS64" s="39"/>
      <c r="QT64" s="39"/>
      <c r="QU64" s="39"/>
      <c r="QV64" s="39"/>
      <c r="QW64" s="39"/>
      <c r="QX64" s="39"/>
      <c r="QY64" s="39"/>
      <c r="QZ64" s="39"/>
      <c r="RA64" s="39"/>
      <c r="RB64" s="39"/>
      <c r="RC64" s="39"/>
      <c r="RD64" s="39"/>
      <c r="RE64" s="39"/>
      <c r="RF64" s="39"/>
      <c r="RG64" s="39"/>
      <c r="RH64" s="39"/>
      <c r="RI64" s="39"/>
      <c r="RJ64" s="39"/>
      <c r="RK64" s="39"/>
      <c r="RL64" s="39"/>
      <c r="RM64" s="39"/>
      <c r="RN64" s="39"/>
      <c r="RO64" s="39"/>
      <c r="RP64" s="39"/>
      <c r="RQ64" s="39"/>
      <c r="RR64" s="39"/>
      <c r="RS64" s="39"/>
      <c r="RT64" s="39"/>
      <c r="RU64" s="39"/>
      <c r="RV64" s="39"/>
      <c r="RW64" s="39"/>
      <c r="RX64" s="39"/>
      <c r="RY64" s="39"/>
      <c r="RZ64" s="39"/>
      <c r="SA64" s="39"/>
      <c r="SB64" s="39"/>
      <c r="SC64" s="39"/>
      <c r="SD64" s="39"/>
      <c r="SE64" s="39"/>
      <c r="SF64" s="39"/>
      <c r="SG64" s="39"/>
      <c r="SH64" s="39"/>
      <c r="SI64" s="39"/>
      <c r="SJ64" s="39"/>
      <c r="SK64" s="39"/>
      <c r="SL64" s="39"/>
      <c r="SM64" s="39"/>
      <c r="SN64" s="39"/>
      <c r="SO64" s="39"/>
      <c r="SP64" s="39"/>
      <c r="SQ64" s="39"/>
      <c r="SR64" s="39"/>
      <c r="SS64" s="39"/>
      <c r="ST64" s="39"/>
      <c r="SU64" s="39"/>
      <c r="SV64" s="39"/>
      <c r="SW64" s="39"/>
      <c r="SX64" s="39"/>
      <c r="SY64" s="39"/>
      <c r="SZ64" s="39"/>
      <c r="TA64" s="39"/>
      <c r="TB64" s="39"/>
      <c r="TC64" s="39"/>
      <c r="TD64" s="39"/>
      <c r="TE64" s="39"/>
      <c r="TF64" s="39"/>
      <c r="TG64" s="39"/>
      <c r="TH64" s="39"/>
      <c r="TI64" s="39"/>
      <c r="TJ64" s="39"/>
      <c r="TK64" s="39"/>
      <c r="TL64" s="39"/>
      <c r="TM64" s="39"/>
      <c r="TN64" s="39"/>
      <c r="TO64" s="39"/>
      <c r="TP64" s="39"/>
      <c r="TQ64" s="39"/>
      <c r="TR64" s="39"/>
      <c r="TS64" s="39"/>
      <c r="TT64" s="39"/>
      <c r="TU64" s="39"/>
      <c r="TV64" s="39"/>
      <c r="TW64" s="39"/>
      <c r="TX64" s="39"/>
      <c r="TY64" s="39"/>
      <c r="TZ64" s="39"/>
      <c r="UA64" s="39"/>
      <c r="UB64" s="39"/>
      <c r="UC64" s="39"/>
      <c r="UD64" s="39"/>
      <c r="UE64" s="39"/>
      <c r="UF64" s="39"/>
      <c r="UG64" s="39"/>
      <c r="UH64" s="39"/>
      <c r="UI64" s="39"/>
      <c r="UJ64" s="39"/>
      <c r="UK64" s="39"/>
      <c r="UL64" s="39"/>
      <c r="UM64" s="39"/>
      <c r="UN64" s="39"/>
      <c r="UO64" s="39"/>
      <c r="UP64" s="39"/>
      <c r="UQ64" s="39"/>
      <c r="UR64" s="39"/>
      <c r="US64" s="39"/>
      <c r="UT64" s="39"/>
      <c r="UU64" s="39"/>
      <c r="UV64" s="39"/>
      <c r="UW64" s="39"/>
      <c r="UX64" s="39"/>
      <c r="UY64" s="39"/>
      <c r="UZ64" s="39"/>
      <c r="VA64" s="39"/>
      <c r="VB64" s="39"/>
      <c r="VC64" s="39"/>
      <c r="VD64" s="39"/>
      <c r="VE64" s="39"/>
      <c r="VF64" s="39"/>
      <c r="VG64" s="39"/>
      <c r="VH64" s="39"/>
      <c r="VI64" s="39"/>
      <c r="VJ64" s="39"/>
      <c r="VK64" s="39"/>
      <c r="VL64" s="39"/>
      <c r="VM64" s="39"/>
      <c r="VN64" s="39"/>
      <c r="VO64" s="39"/>
      <c r="VP64" s="39"/>
      <c r="VQ64" s="39"/>
      <c r="VR64" s="39"/>
      <c r="VS64" s="39"/>
      <c r="VT64" s="39"/>
      <c r="VU64" s="39"/>
      <c r="VV64" s="39"/>
      <c r="VW64" s="39"/>
      <c r="VX64" s="39"/>
      <c r="VY64" s="39"/>
      <c r="VZ64" s="39"/>
      <c r="WA64" s="39"/>
      <c r="WB64" s="39"/>
      <c r="WC64" s="39"/>
      <c r="WD64" s="39"/>
      <c r="WE64" s="39"/>
      <c r="WF64" s="39"/>
      <c r="WG64" s="39"/>
      <c r="WH64" s="39"/>
      <c r="WI64" s="39"/>
      <c r="WJ64" s="39"/>
      <c r="WK64" s="39"/>
      <c r="WL64" s="39"/>
      <c r="WM64" s="39"/>
      <c r="WN64" s="39"/>
      <c r="WO64" s="39"/>
      <c r="WP64" s="39"/>
      <c r="WQ64" s="39"/>
      <c r="WR64" s="39"/>
      <c r="WS64" s="39"/>
      <c r="WT64" s="39"/>
      <c r="WU64" s="39"/>
      <c r="WV64" s="39"/>
      <c r="WW64" s="39"/>
      <c r="WX64" s="39"/>
      <c r="WY64" s="39"/>
      <c r="WZ64" s="39"/>
      <c r="XA64" s="39"/>
      <c r="XB64" s="39"/>
      <c r="XC64" s="39"/>
      <c r="XD64" s="39"/>
      <c r="XE64" s="39"/>
      <c r="XF64" s="39"/>
      <c r="XG64" s="39"/>
      <c r="XH64" s="39"/>
      <c r="XI64" s="39"/>
      <c r="XJ64" s="39"/>
      <c r="XK64" s="39"/>
      <c r="XL64" s="39"/>
      <c r="XM64" s="39"/>
      <c r="XN64" s="39"/>
      <c r="XO64" s="39"/>
      <c r="XP64" s="39"/>
      <c r="XQ64" s="39"/>
      <c r="XR64" s="39"/>
      <c r="XS64" s="39"/>
      <c r="XT64" s="39"/>
      <c r="XU64" s="39"/>
      <c r="XV64" s="39"/>
      <c r="XW64" s="39"/>
      <c r="XX64" s="39"/>
      <c r="XY64" s="39"/>
      <c r="XZ64" s="39"/>
      <c r="YA64" s="39"/>
      <c r="YB64" s="39"/>
      <c r="YC64" s="39"/>
      <c r="YD64" s="39"/>
      <c r="YE64" s="39"/>
      <c r="YF64" s="39"/>
      <c r="YG64" s="39"/>
      <c r="YH64" s="39"/>
      <c r="YI64" s="39"/>
      <c r="YJ64" s="39"/>
      <c r="YK64" s="39"/>
      <c r="YL64" s="39"/>
      <c r="YM64" s="39"/>
      <c r="YN64" s="39"/>
      <c r="YO64" s="39"/>
      <c r="YP64" s="39"/>
      <c r="YQ64" s="39"/>
      <c r="YR64" s="39"/>
      <c r="YS64" s="39"/>
      <c r="YT64" s="39"/>
      <c r="YU64" s="39"/>
      <c r="YV64" s="39"/>
      <c r="YW64" s="39"/>
      <c r="YX64" s="39"/>
      <c r="YY64" s="39"/>
      <c r="YZ64" s="39"/>
      <c r="ZA64" s="39"/>
      <c r="ZB64" s="39"/>
      <c r="ZC64" s="39"/>
      <c r="ZD64" s="39"/>
      <c r="ZE64" s="39"/>
      <c r="ZF64" s="39"/>
      <c r="ZG64" s="39"/>
      <c r="ZH64" s="39"/>
      <c r="ZI64" s="39"/>
      <c r="ZJ64" s="39"/>
      <c r="ZK64" s="39"/>
      <c r="ZL64" s="39"/>
      <c r="ZM64" s="39"/>
      <c r="ZN64" s="39"/>
      <c r="ZO64" s="39"/>
      <c r="ZP64" s="39"/>
      <c r="ZQ64" s="39"/>
      <c r="ZR64" s="39"/>
      <c r="ZS64" s="39"/>
      <c r="ZT64" s="39"/>
      <c r="ZU64" s="39"/>
      <c r="ZV64" s="39"/>
      <c r="ZW64" s="39"/>
      <c r="ZX64" s="39"/>
      <c r="ZY64" s="39"/>
      <c r="ZZ64" s="39"/>
      <c r="AAA64" s="39"/>
      <c r="AAB64" s="39"/>
      <c r="AAC64" s="39"/>
      <c r="AAD64" s="39"/>
      <c r="AAE64" s="39"/>
      <c r="AAF64" s="39"/>
      <c r="AAG64" s="39"/>
      <c r="AAH64" s="39"/>
      <c r="AAI64" s="39"/>
      <c r="AAJ64" s="39"/>
      <c r="AAK64" s="39"/>
      <c r="AAL64" s="39"/>
      <c r="AAM64" s="39"/>
      <c r="AAN64" s="39"/>
      <c r="AAO64" s="39"/>
      <c r="AAP64" s="39"/>
      <c r="AAQ64" s="39"/>
      <c r="AAR64" s="39"/>
      <c r="AAS64" s="39"/>
      <c r="AAT64" s="39"/>
      <c r="AAU64" s="39"/>
      <c r="AAV64" s="39"/>
      <c r="AAW64" s="39"/>
      <c r="AAX64" s="39"/>
      <c r="AAY64" s="39"/>
      <c r="AAZ64" s="39"/>
      <c r="ABA64" s="39"/>
      <c r="ABB64" s="39"/>
      <c r="ABC64" s="39"/>
      <c r="ABD64" s="39"/>
      <c r="ABE64" s="39"/>
      <c r="ABF64" s="39"/>
      <c r="ABG64" s="39"/>
      <c r="ABH64" s="39"/>
      <c r="ABI64" s="39"/>
      <c r="ABJ64" s="39"/>
      <c r="ABK64" s="39"/>
      <c r="ABL64" s="39"/>
      <c r="ABM64" s="39"/>
      <c r="ABN64" s="39"/>
      <c r="ABO64" s="39"/>
      <c r="ABP64" s="39"/>
      <c r="ABQ64" s="39"/>
      <c r="ABR64" s="39"/>
      <c r="ABS64" s="39"/>
      <c r="ABT64" s="39"/>
      <c r="ABU64" s="39"/>
      <c r="ABV64" s="39"/>
      <c r="ABW64" s="39"/>
      <c r="ABX64" s="39"/>
      <c r="ABY64" s="39"/>
      <c r="ABZ64" s="39"/>
      <c r="ACA64" s="39"/>
      <c r="ACB64" s="39"/>
      <c r="ACC64" s="39"/>
      <c r="ACD64" s="39"/>
      <c r="ACE64" s="39"/>
      <c r="ACF64" s="39"/>
      <c r="ACG64" s="39"/>
      <c r="ACH64" s="39"/>
      <c r="ACI64" s="39"/>
      <c r="ACJ64" s="39"/>
      <c r="ACK64" s="39"/>
      <c r="ACL64" s="39"/>
      <c r="ACM64" s="39"/>
      <c r="ACN64" s="39"/>
      <c r="ACO64" s="39"/>
      <c r="ACP64" s="39"/>
      <c r="ACQ64" s="39"/>
      <c r="ACR64" s="39"/>
      <c r="ACS64" s="39"/>
      <c r="ACT64" s="39"/>
      <c r="ACU64" s="39"/>
      <c r="ACV64" s="39"/>
      <c r="ACW64" s="39"/>
      <c r="ACX64" s="39"/>
      <c r="ACY64" s="39"/>
      <c r="ACZ64" s="39"/>
      <c r="ADA64" s="39"/>
      <c r="ADB64" s="39"/>
      <c r="ADC64" s="39"/>
      <c r="ADD64" s="39"/>
      <c r="ADE64" s="39"/>
      <c r="ADF64" s="39"/>
      <c r="ADG64" s="39"/>
      <c r="ADH64" s="39"/>
      <c r="ADI64" s="39"/>
      <c r="ADJ64" s="39"/>
      <c r="ADK64" s="39"/>
      <c r="ADL64" s="39"/>
      <c r="ADM64" s="39"/>
      <c r="ADN64" s="39"/>
      <c r="ADO64" s="39"/>
      <c r="ADP64" s="39"/>
      <c r="ADQ64" s="39"/>
      <c r="ADR64" s="39"/>
      <c r="ADS64" s="39"/>
      <c r="ADT64" s="39"/>
      <c r="ADU64" s="39"/>
      <c r="ADV64" s="39"/>
      <c r="ADW64" s="39"/>
      <c r="ADX64" s="39"/>
      <c r="ADY64" s="39"/>
      <c r="ADZ64" s="39"/>
      <c r="AEA64" s="39"/>
      <c r="AEB64" s="39"/>
      <c r="AEC64" s="39"/>
      <c r="AED64" s="39"/>
      <c r="AEE64" s="39"/>
      <c r="AEF64" s="39"/>
      <c r="AEG64" s="39"/>
      <c r="AEH64" s="39"/>
      <c r="AEI64" s="39"/>
      <c r="AEJ64" s="39"/>
      <c r="AEK64" s="39"/>
      <c r="AEL64" s="39"/>
      <c r="AEM64" s="39"/>
      <c r="AEN64" s="39"/>
      <c r="AEO64" s="39"/>
      <c r="AEP64" s="39"/>
      <c r="AEQ64" s="39"/>
      <c r="AER64" s="39"/>
      <c r="AES64" s="39"/>
      <c r="AET64" s="39"/>
      <c r="AEU64" s="39"/>
      <c r="AEV64" s="39"/>
      <c r="AEW64" s="39"/>
      <c r="AEX64" s="39"/>
      <c r="AEY64" s="39"/>
      <c r="AEZ64" s="39"/>
      <c r="AFA64" s="39"/>
      <c r="AFB64" s="39"/>
      <c r="AFC64" s="39"/>
      <c r="AFD64" s="39"/>
      <c r="AFE64" s="39"/>
      <c r="AFF64" s="39"/>
      <c r="AFG64" s="39"/>
      <c r="AFH64" s="39"/>
      <c r="AFI64" s="39"/>
      <c r="AFJ64" s="39"/>
      <c r="AFK64" s="39"/>
      <c r="AFL64" s="39"/>
      <c r="AFM64" s="39"/>
      <c r="AFN64" s="39"/>
      <c r="AFO64" s="39"/>
      <c r="AFP64" s="39"/>
      <c r="AFQ64" s="39"/>
      <c r="AFR64" s="39"/>
      <c r="AFS64" s="39"/>
      <c r="AFT64" s="39"/>
      <c r="AFU64" s="39"/>
      <c r="AFV64" s="39"/>
      <c r="AFW64" s="39"/>
      <c r="AFX64" s="39"/>
      <c r="AFY64" s="39"/>
      <c r="AFZ64" s="39"/>
      <c r="AGA64" s="39"/>
      <c r="AGB64" s="39"/>
      <c r="AGC64" s="39"/>
      <c r="AGD64" s="39"/>
      <c r="AGE64" s="39"/>
      <c r="AGF64" s="39"/>
      <c r="AGG64" s="39"/>
      <c r="AGH64" s="39"/>
      <c r="AGI64" s="39"/>
      <c r="AGJ64" s="39"/>
      <c r="AGK64" s="39"/>
      <c r="AGL64" s="39"/>
      <c r="AGM64" s="39"/>
      <c r="AGN64" s="39"/>
      <c r="AGO64" s="39"/>
      <c r="AGP64" s="39"/>
      <c r="AGQ64" s="39"/>
      <c r="AGR64" s="39"/>
      <c r="AGS64" s="39"/>
      <c r="AGT64" s="39"/>
      <c r="AGU64" s="39"/>
      <c r="AGV64" s="39"/>
      <c r="AGW64" s="39"/>
      <c r="AGX64" s="39"/>
      <c r="AGY64" s="39"/>
      <c r="AGZ64" s="39"/>
      <c r="AHA64" s="39"/>
      <c r="AHB64" s="39"/>
      <c r="AHC64" s="39"/>
      <c r="AHD64" s="39"/>
      <c r="AHE64" s="39"/>
      <c r="AHF64" s="39"/>
      <c r="AHG64" s="39"/>
      <c r="AHH64" s="39"/>
      <c r="AHI64" s="39"/>
      <c r="AHJ64" s="39"/>
      <c r="AHK64" s="39"/>
      <c r="AHL64" s="39"/>
      <c r="AHM64" s="39"/>
      <c r="AHN64" s="39"/>
      <c r="AHO64" s="39"/>
      <c r="AHP64" s="39"/>
      <c r="AHQ64" s="39"/>
      <c r="AHR64" s="39"/>
      <c r="AHS64" s="39"/>
      <c r="AHT64" s="39"/>
      <c r="AHU64" s="39"/>
      <c r="AHV64" s="39"/>
      <c r="AHW64" s="39"/>
      <c r="AHX64" s="39"/>
      <c r="AHY64" s="39"/>
      <c r="AHZ64" s="39"/>
      <c r="AIA64" s="39"/>
      <c r="AIB64" s="39"/>
      <c r="AIC64" s="39"/>
      <c r="AID64" s="39"/>
      <c r="AIE64" s="39"/>
      <c r="AIF64" s="39"/>
      <c r="AIG64" s="39"/>
      <c r="AIH64" s="39"/>
      <c r="AII64" s="39"/>
      <c r="AIJ64" s="39"/>
      <c r="AIK64" s="39"/>
      <c r="AIL64" s="39"/>
      <c r="AIM64" s="39"/>
      <c r="AIN64" s="39"/>
      <c r="AIO64" s="39"/>
      <c r="AIP64" s="39"/>
      <c r="AIQ64" s="39"/>
      <c r="AIR64" s="39"/>
      <c r="AIS64" s="39"/>
      <c r="AIT64" s="39"/>
      <c r="AIU64" s="39"/>
      <c r="AIV64" s="39"/>
      <c r="AIW64" s="39"/>
      <c r="AIX64" s="39"/>
      <c r="AIY64" s="39"/>
      <c r="AIZ64" s="39"/>
      <c r="AJA64" s="39"/>
      <c r="AJB64" s="39"/>
      <c r="AJC64" s="39"/>
      <c r="AJD64" s="39"/>
      <c r="AJE64" s="39"/>
      <c r="AJF64" s="39"/>
      <c r="AJG64" s="39"/>
      <c r="AJH64" s="39"/>
      <c r="AJI64" s="39"/>
      <c r="AJJ64" s="39"/>
      <c r="AJK64" s="39"/>
      <c r="AJL64" s="39"/>
      <c r="AJM64" s="39"/>
      <c r="AJN64" s="39"/>
      <c r="AJO64" s="39"/>
      <c r="AJP64" s="39"/>
      <c r="AJQ64" s="39"/>
      <c r="AJR64" s="39"/>
      <c r="AJS64" s="39"/>
      <c r="AJT64" s="39"/>
      <c r="AJU64" s="39"/>
      <c r="AJV64" s="39"/>
      <c r="AJW64" s="39"/>
      <c r="AJX64" s="39"/>
      <c r="AJY64" s="39"/>
      <c r="AJZ64" s="39"/>
      <c r="AKA64" s="39"/>
      <c r="AKB64" s="39"/>
      <c r="AKC64" s="39"/>
      <c r="AKD64" s="39"/>
      <c r="AKE64" s="39"/>
      <c r="AKF64" s="39"/>
      <c r="AKG64" s="39"/>
      <c r="AKH64" s="39"/>
      <c r="AKI64" s="39"/>
      <c r="AKJ64" s="39"/>
      <c r="AKK64" s="39"/>
      <c r="AKL64" s="39"/>
      <c r="AKM64" s="39"/>
      <c r="AKN64" s="39"/>
      <c r="AKO64" s="39"/>
      <c r="AKP64" s="39"/>
      <c r="AKQ64" s="39"/>
      <c r="AKR64" s="39"/>
      <c r="AKS64" s="39"/>
      <c r="AKT64" s="39"/>
      <c r="AKU64" s="39"/>
      <c r="AKV64" s="39"/>
      <c r="AKW64" s="39"/>
      <c r="AKX64" s="39"/>
      <c r="AKY64" s="39"/>
      <c r="AKZ64" s="39"/>
      <c r="ALA64" s="39"/>
      <c r="ALB64" s="39"/>
      <c r="ALC64" s="39"/>
      <c r="ALD64" s="39"/>
      <c r="ALE64" s="39"/>
      <c r="ALF64" s="39"/>
      <c r="ALG64" s="39"/>
      <c r="ALH64" s="39"/>
      <c r="ALI64" s="39"/>
      <c r="ALJ64" s="39"/>
      <c r="ALK64" s="39"/>
      <c r="ALL64" s="39"/>
      <c r="ALM64" s="39"/>
      <c r="ALN64" s="39"/>
      <c r="ALO64" s="39"/>
      <c r="ALP64" s="39"/>
    </row>
    <row r="65" spans="1:8" s="102" customFormat="1" ht="13.5">
      <c r="A65" s="903"/>
      <c r="B65" s="904"/>
      <c r="C65" s="930" t="s">
        <v>296</v>
      </c>
      <c r="D65" s="906"/>
      <c r="E65" s="931">
        <v>0</v>
      </c>
      <c r="F65" s="937">
        <v>10</v>
      </c>
      <c r="G65" s="908">
        <f>E65*F65</f>
        <v>0</v>
      </c>
      <c r="H65" s="933"/>
    </row>
    <row r="66" spans="1:8" s="102" customFormat="1" ht="13.5">
      <c r="A66" s="903"/>
      <c r="B66" s="904"/>
      <c r="C66" s="930" t="s">
        <v>297</v>
      </c>
      <c r="D66" s="906"/>
      <c r="E66" s="931">
        <v>0</v>
      </c>
      <c r="F66" s="937">
        <v>20</v>
      </c>
      <c r="G66" s="908">
        <f>E66*F66</f>
        <v>0</v>
      </c>
      <c r="H66" s="933"/>
    </row>
    <row r="67" spans="1:8" s="102" customFormat="1" ht="13.5">
      <c r="A67" s="903"/>
      <c r="B67" s="904"/>
      <c r="C67" s="930" t="s">
        <v>298</v>
      </c>
      <c r="D67" s="906"/>
      <c r="E67" s="931">
        <v>0</v>
      </c>
      <c r="F67" s="937">
        <v>10</v>
      </c>
      <c r="G67" s="908">
        <f>E67*F67</f>
        <v>0</v>
      </c>
      <c r="H67" s="933"/>
    </row>
    <row r="68" spans="1:8" s="102" customFormat="1" ht="13.5">
      <c r="A68" s="903"/>
      <c r="B68" s="904"/>
      <c r="C68" s="930" t="s">
        <v>283</v>
      </c>
      <c r="D68" s="906"/>
      <c r="E68" s="931">
        <v>0</v>
      </c>
      <c r="F68" s="937">
        <v>5</v>
      </c>
      <c r="G68" s="908">
        <f>E68*F68</f>
        <v>0</v>
      </c>
      <c r="H68" s="933"/>
    </row>
    <row r="69" spans="1:8" s="102" customFormat="1" ht="13.5">
      <c r="A69" s="903"/>
      <c r="B69" s="904"/>
      <c r="C69" s="930" t="s">
        <v>282</v>
      </c>
      <c r="D69" s="906"/>
      <c r="E69" s="931">
        <v>0</v>
      </c>
      <c r="F69" s="937">
        <v>5</v>
      </c>
      <c r="G69" s="908">
        <f>E69*F69</f>
        <v>0</v>
      </c>
      <c r="H69" s="933"/>
    </row>
    <row r="70" spans="1:8" s="102" customFormat="1" ht="13.5">
      <c r="A70" s="903"/>
      <c r="B70" s="904"/>
      <c r="C70" s="930" t="s">
        <v>299</v>
      </c>
      <c r="D70" s="906"/>
      <c r="E70" s="931">
        <v>1</v>
      </c>
      <c r="F70" s="937">
        <v>36</v>
      </c>
      <c r="G70" s="908">
        <f>E70*F70</f>
        <v>36</v>
      </c>
      <c r="H70" s="933"/>
    </row>
    <row r="71" spans="1:8" s="102" customFormat="1" ht="13.5">
      <c r="A71" s="903"/>
      <c r="B71" s="904"/>
      <c r="C71" s="930" t="s">
        <v>300</v>
      </c>
      <c r="D71" s="906"/>
      <c r="E71" s="931">
        <v>0</v>
      </c>
      <c r="F71" s="937">
        <v>24</v>
      </c>
      <c r="G71" s="908">
        <f>E71*F71</f>
        <v>0</v>
      </c>
      <c r="H71" s="933"/>
    </row>
    <row r="72" spans="1:8" s="102" customFormat="1" ht="13.5">
      <c r="A72" s="903"/>
      <c r="B72" s="904"/>
      <c r="C72" s="930" t="s">
        <v>301</v>
      </c>
      <c r="D72" s="906"/>
      <c r="E72" s="931">
        <v>1</v>
      </c>
      <c r="F72" s="937">
        <v>5</v>
      </c>
      <c r="G72" s="908">
        <f>E72*F72</f>
        <v>5</v>
      </c>
      <c r="H72" s="933"/>
    </row>
    <row r="73" spans="1:8" s="102" customFormat="1" ht="13.5">
      <c r="A73" s="903"/>
      <c r="B73" s="904"/>
      <c r="C73" s="930" t="s">
        <v>302</v>
      </c>
      <c r="D73" s="906"/>
      <c r="E73" s="931">
        <v>0</v>
      </c>
      <c r="F73" s="937">
        <v>30</v>
      </c>
      <c r="G73" s="908">
        <f>E73*F73</f>
        <v>0</v>
      </c>
      <c r="H73" s="933"/>
    </row>
    <row r="74" spans="1:8" s="102" customFormat="1" ht="13.5">
      <c r="A74" s="903"/>
      <c r="B74" s="904"/>
      <c r="C74" s="930" t="s">
        <v>303</v>
      </c>
      <c r="D74" s="906"/>
      <c r="E74" s="931">
        <v>1</v>
      </c>
      <c r="F74" s="937">
        <v>35</v>
      </c>
      <c r="G74" s="908">
        <f>E74*F74</f>
        <v>35</v>
      </c>
      <c r="H74" s="933"/>
    </row>
    <row r="75" spans="1:8" s="102" customFormat="1" ht="13.5">
      <c r="A75" s="903"/>
      <c r="B75" s="904"/>
      <c r="C75" s="930" t="s">
        <v>304</v>
      </c>
      <c r="D75" s="906"/>
      <c r="E75" s="931">
        <v>1</v>
      </c>
      <c r="F75" s="937">
        <v>24</v>
      </c>
      <c r="G75" s="908">
        <f>E75*F75</f>
        <v>24</v>
      </c>
      <c r="H75" s="933"/>
    </row>
    <row r="76" spans="1:8" s="39" customFormat="1" ht="11.45" customHeight="1">
      <c r="A76" s="23"/>
      <c r="B76" s="24"/>
      <c r="C76" s="30"/>
      <c r="D76" s="25"/>
      <c r="E76" s="26"/>
      <c r="F76" s="27" t="s">
        <v>15</v>
      </c>
      <c r="G76" s="28">
        <f>SUM(G61:G75)</f>
        <v>159</v>
      </c>
      <c r="H76" s="29"/>
    </row>
    <row r="77" spans="1:8" s="39" customFormat="1" ht="11.45" customHeight="1">
      <c r="A77" s="914"/>
      <c r="B77" s="915"/>
      <c r="C77" s="916"/>
      <c r="D77" s="917"/>
      <c r="E77" s="918"/>
      <c r="F77" s="919" t="s">
        <v>16</v>
      </c>
      <c r="G77" s="920">
        <v>1.2</v>
      </c>
      <c r="H77" s="921"/>
    </row>
    <row r="78" spans="1:8" s="39" customFormat="1" ht="11.45" customHeight="1">
      <c r="A78" s="922"/>
      <c r="B78" s="923"/>
      <c r="C78" s="924"/>
      <c r="D78" s="925"/>
      <c r="E78" s="926"/>
      <c r="F78" s="927" t="s">
        <v>17</v>
      </c>
      <c r="G78" s="928">
        <f>G76*G77</f>
        <v>190.79999999999998</v>
      </c>
      <c r="H78" s="929"/>
    </row>
    <row r="79" spans="1:8" s="39" customFormat="1" ht="13.5">
      <c r="A79" s="802" t="s">
        <v>305</v>
      </c>
      <c r="B79" s="149"/>
      <c r="C79" s="150"/>
      <c r="D79" s="151"/>
      <c r="E79" s="151"/>
      <c r="F79" s="152"/>
      <c r="G79" s="152"/>
      <c r="H79" s="803"/>
    </row>
    <row r="80" spans="1:8" s="102" customFormat="1" ht="13.5">
      <c r="A80" s="903"/>
      <c r="B80" s="904"/>
      <c r="C80" s="930" t="s">
        <v>306</v>
      </c>
      <c r="D80" s="906"/>
      <c r="E80" s="931">
        <v>2</v>
      </c>
      <c r="F80" s="932">
        <v>10</v>
      </c>
      <c r="G80" s="908">
        <f>E80*F80</f>
        <v>20</v>
      </c>
      <c r="H80" s="933"/>
    </row>
    <row r="81" spans="1:1004" s="102" customFormat="1" ht="13.5">
      <c r="A81" s="903"/>
      <c r="B81" s="904"/>
      <c r="C81" s="930" t="s">
        <v>307</v>
      </c>
      <c r="D81" s="906"/>
      <c r="E81" s="931">
        <v>0</v>
      </c>
      <c r="F81" s="939">
        <v>30</v>
      </c>
      <c r="G81" s="908">
        <f>E81*F81</f>
        <v>0</v>
      </c>
      <c r="H81" s="933"/>
    </row>
    <row r="82" spans="1:1004" s="102" customFormat="1" ht="13.5">
      <c r="A82" s="903"/>
      <c r="B82" s="904"/>
      <c r="C82" s="930" t="s">
        <v>308</v>
      </c>
      <c r="D82" s="906"/>
      <c r="E82" s="931">
        <v>2</v>
      </c>
      <c r="F82" s="939">
        <v>36</v>
      </c>
      <c r="G82" s="908">
        <f>E82*F82</f>
        <v>72</v>
      </c>
      <c r="H82" s="933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39"/>
      <c r="IN82" s="39"/>
      <c r="IO82" s="39"/>
      <c r="IP82" s="39"/>
      <c r="IQ82" s="39"/>
      <c r="IR82" s="39"/>
      <c r="IS82" s="39"/>
      <c r="IT82" s="39"/>
      <c r="IU82" s="39"/>
      <c r="IV82" s="39"/>
      <c r="IW82" s="39"/>
      <c r="IX82" s="39"/>
      <c r="IY82" s="39"/>
      <c r="IZ82" s="39"/>
      <c r="JA82" s="39"/>
      <c r="JB82" s="39"/>
      <c r="JC82" s="39"/>
      <c r="JD82" s="39"/>
      <c r="JE82" s="39"/>
      <c r="JF82" s="39"/>
      <c r="JG82" s="39"/>
      <c r="JH82" s="39"/>
      <c r="JI82" s="39"/>
      <c r="JJ82" s="39"/>
      <c r="JK82" s="39"/>
      <c r="JL82" s="39"/>
      <c r="JM82" s="39"/>
      <c r="JN82" s="39"/>
      <c r="JO82" s="39"/>
      <c r="JP82" s="39"/>
      <c r="JQ82" s="39"/>
      <c r="JR82" s="39"/>
      <c r="JS82" s="39"/>
      <c r="JT82" s="39"/>
      <c r="JU82" s="39"/>
      <c r="JV82" s="39"/>
      <c r="JW82" s="39"/>
      <c r="JX82" s="39"/>
      <c r="JY82" s="39"/>
      <c r="JZ82" s="39"/>
      <c r="KA82" s="39"/>
      <c r="KB82" s="39"/>
      <c r="KC82" s="39"/>
      <c r="KD82" s="39"/>
      <c r="KE82" s="39"/>
      <c r="KF82" s="39"/>
      <c r="KG82" s="39"/>
      <c r="KH82" s="39"/>
      <c r="KI82" s="39"/>
      <c r="KJ82" s="39"/>
      <c r="KK82" s="39"/>
      <c r="KL82" s="39"/>
      <c r="KM82" s="39"/>
      <c r="KN82" s="39"/>
      <c r="KO82" s="39"/>
      <c r="KP82" s="39"/>
      <c r="KQ82" s="39"/>
      <c r="KR82" s="39"/>
      <c r="KS82" s="39"/>
      <c r="KT82" s="39"/>
      <c r="KU82" s="39"/>
      <c r="KV82" s="39"/>
      <c r="KW82" s="39"/>
      <c r="KX82" s="39"/>
      <c r="KY82" s="39"/>
      <c r="KZ82" s="39"/>
      <c r="LA82" s="39"/>
      <c r="LB82" s="39"/>
      <c r="LC82" s="39"/>
      <c r="LD82" s="39"/>
      <c r="LE82" s="39"/>
      <c r="LF82" s="39"/>
      <c r="LG82" s="39"/>
      <c r="LH82" s="39"/>
      <c r="LI82" s="39"/>
      <c r="LJ82" s="39"/>
      <c r="LK82" s="39"/>
      <c r="LL82" s="39"/>
      <c r="LM82" s="39"/>
      <c r="LN82" s="39"/>
      <c r="LO82" s="39"/>
      <c r="LP82" s="39"/>
      <c r="LQ82" s="39"/>
      <c r="LR82" s="39"/>
      <c r="LS82" s="39"/>
      <c r="LT82" s="39"/>
      <c r="LU82" s="39"/>
      <c r="LV82" s="39"/>
      <c r="LW82" s="39"/>
      <c r="LX82" s="39"/>
      <c r="LY82" s="39"/>
      <c r="LZ82" s="39"/>
      <c r="MA82" s="39"/>
      <c r="MB82" s="39"/>
      <c r="MC82" s="39"/>
      <c r="MD82" s="39"/>
      <c r="ME82" s="39"/>
      <c r="MF82" s="39"/>
      <c r="MG82" s="39"/>
      <c r="MH82" s="39"/>
      <c r="MI82" s="39"/>
      <c r="MJ82" s="39"/>
      <c r="MK82" s="39"/>
      <c r="ML82" s="39"/>
      <c r="MM82" s="39"/>
      <c r="MN82" s="39"/>
      <c r="MO82" s="39"/>
      <c r="MP82" s="39"/>
      <c r="MQ82" s="39"/>
      <c r="MR82" s="39"/>
      <c r="MS82" s="39"/>
      <c r="MT82" s="39"/>
      <c r="MU82" s="39"/>
      <c r="MV82" s="39"/>
      <c r="MW82" s="39"/>
      <c r="MX82" s="39"/>
      <c r="MY82" s="39"/>
      <c r="MZ82" s="39"/>
      <c r="NA82" s="39"/>
      <c r="NB82" s="39"/>
      <c r="NC82" s="39"/>
      <c r="ND82" s="39"/>
      <c r="NE82" s="39"/>
      <c r="NF82" s="39"/>
      <c r="NG82" s="39"/>
      <c r="NH82" s="39"/>
      <c r="NI82" s="39"/>
      <c r="NJ82" s="39"/>
      <c r="NK82" s="39"/>
      <c r="NL82" s="39"/>
      <c r="NM82" s="39"/>
      <c r="NN82" s="39"/>
      <c r="NO82" s="39"/>
      <c r="NP82" s="39"/>
      <c r="NQ82" s="39"/>
      <c r="NR82" s="39"/>
      <c r="NS82" s="39"/>
      <c r="NT82" s="39"/>
      <c r="NU82" s="39"/>
      <c r="NV82" s="39"/>
      <c r="NW82" s="39"/>
      <c r="NX82" s="39"/>
      <c r="NY82" s="39"/>
      <c r="NZ82" s="39"/>
      <c r="OA82" s="39"/>
      <c r="OB82" s="39"/>
      <c r="OC82" s="39"/>
      <c r="OD82" s="39"/>
      <c r="OE82" s="39"/>
      <c r="OF82" s="39"/>
      <c r="OG82" s="39"/>
      <c r="OH82" s="39"/>
      <c r="OI82" s="39"/>
      <c r="OJ82" s="39"/>
      <c r="OK82" s="39"/>
      <c r="OL82" s="39"/>
      <c r="OM82" s="39"/>
      <c r="ON82" s="39"/>
      <c r="OO82" s="39"/>
      <c r="OP82" s="39"/>
      <c r="OQ82" s="39"/>
      <c r="OR82" s="39"/>
      <c r="OS82" s="39"/>
      <c r="OT82" s="39"/>
      <c r="OU82" s="39"/>
      <c r="OV82" s="39"/>
      <c r="OW82" s="39"/>
      <c r="OX82" s="39"/>
      <c r="OY82" s="39"/>
      <c r="OZ82" s="39"/>
      <c r="PA82" s="39"/>
      <c r="PB82" s="39"/>
      <c r="PC82" s="39"/>
      <c r="PD82" s="39"/>
      <c r="PE82" s="39"/>
      <c r="PF82" s="39"/>
      <c r="PG82" s="39"/>
      <c r="PH82" s="39"/>
      <c r="PI82" s="39"/>
      <c r="PJ82" s="39"/>
      <c r="PK82" s="39"/>
      <c r="PL82" s="39"/>
      <c r="PM82" s="39"/>
      <c r="PN82" s="39"/>
      <c r="PO82" s="39"/>
      <c r="PP82" s="39"/>
      <c r="PQ82" s="39"/>
      <c r="PR82" s="39"/>
      <c r="PS82" s="39"/>
      <c r="PT82" s="39"/>
      <c r="PU82" s="39"/>
      <c r="PV82" s="39"/>
      <c r="PW82" s="39"/>
      <c r="PX82" s="39"/>
      <c r="PY82" s="39"/>
      <c r="PZ82" s="39"/>
      <c r="QA82" s="39"/>
      <c r="QB82" s="39"/>
      <c r="QC82" s="39"/>
      <c r="QD82" s="39"/>
      <c r="QE82" s="39"/>
      <c r="QF82" s="39"/>
      <c r="QG82" s="39"/>
      <c r="QH82" s="39"/>
      <c r="QI82" s="39"/>
      <c r="QJ82" s="39"/>
      <c r="QK82" s="39"/>
      <c r="QL82" s="39"/>
      <c r="QM82" s="39"/>
      <c r="QN82" s="39"/>
      <c r="QO82" s="39"/>
      <c r="QP82" s="39"/>
      <c r="QQ82" s="39"/>
      <c r="QR82" s="39"/>
      <c r="QS82" s="39"/>
      <c r="QT82" s="39"/>
      <c r="QU82" s="39"/>
      <c r="QV82" s="39"/>
      <c r="QW82" s="39"/>
      <c r="QX82" s="39"/>
      <c r="QY82" s="39"/>
      <c r="QZ82" s="39"/>
      <c r="RA82" s="39"/>
      <c r="RB82" s="39"/>
      <c r="RC82" s="39"/>
      <c r="RD82" s="39"/>
      <c r="RE82" s="39"/>
      <c r="RF82" s="39"/>
      <c r="RG82" s="39"/>
      <c r="RH82" s="39"/>
      <c r="RI82" s="39"/>
      <c r="RJ82" s="39"/>
      <c r="RK82" s="39"/>
      <c r="RL82" s="39"/>
      <c r="RM82" s="39"/>
      <c r="RN82" s="39"/>
      <c r="RO82" s="39"/>
      <c r="RP82" s="39"/>
      <c r="RQ82" s="39"/>
      <c r="RR82" s="39"/>
      <c r="RS82" s="39"/>
      <c r="RT82" s="39"/>
      <c r="RU82" s="39"/>
      <c r="RV82" s="39"/>
      <c r="RW82" s="39"/>
      <c r="RX82" s="39"/>
      <c r="RY82" s="39"/>
      <c r="RZ82" s="39"/>
      <c r="SA82" s="39"/>
      <c r="SB82" s="39"/>
      <c r="SC82" s="39"/>
      <c r="SD82" s="39"/>
      <c r="SE82" s="39"/>
      <c r="SF82" s="39"/>
      <c r="SG82" s="39"/>
      <c r="SH82" s="39"/>
      <c r="SI82" s="39"/>
      <c r="SJ82" s="39"/>
      <c r="SK82" s="39"/>
      <c r="SL82" s="39"/>
      <c r="SM82" s="39"/>
      <c r="SN82" s="39"/>
      <c r="SO82" s="39"/>
      <c r="SP82" s="39"/>
      <c r="SQ82" s="39"/>
      <c r="SR82" s="39"/>
      <c r="SS82" s="39"/>
      <c r="ST82" s="39"/>
      <c r="SU82" s="39"/>
      <c r="SV82" s="39"/>
      <c r="SW82" s="39"/>
      <c r="SX82" s="39"/>
      <c r="SY82" s="39"/>
      <c r="SZ82" s="39"/>
      <c r="TA82" s="39"/>
      <c r="TB82" s="39"/>
      <c r="TC82" s="39"/>
      <c r="TD82" s="39"/>
      <c r="TE82" s="39"/>
      <c r="TF82" s="39"/>
      <c r="TG82" s="39"/>
      <c r="TH82" s="39"/>
      <c r="TI82" s="39"/>
      <c r="TJ82" s="39"/>
      <c r="TK82" s="39"/>
      <c r="TL82" s="39"/>
      <c r="TM82" s="39"/>
      <c r="TN82" s="39"/>
      <c r="TO82" s="39"/>
      <c r="TP82" s="39"/>
      <c r="TQ82" s="39"/>
      <c r="TR82" s="39"/>
      <c r="TS82" s="39"/>
      <c r="TT82" s="39"/>
      <c r="TU82" s="39"/>
      <c r="TV82" s="39"/>
      <c r="TW82" s="39"/>
      <c r="TX82" s="39"/>
      <c r="TY82" s="39"/>
      <c r="TZ82" s="39"/>
      <c r="UA82" s="39"/>
      <c r="UB82" s="39"/>
      <c r="UC82" s="39"/>
      <c r="UD82" s="39"/>
      <c r="UE82" s="39"/>
      <c r="UF82" s="39"/>
      <c r="UG82" s="39"/>
      <c r="UH82" s="39"/>
      <c r="UI82" s="39"/>
      <c r="UJ82" s="39"/>
      <c r="UK82" s="39"/>
      <c r="UL82" s="39"/>
      <c r="UM82" s="39"/>
      <c r="UN82" s="39"/>
      <c r="UO82" s="39"/>
      <c r="UP82" s="39"/>
      <c r="UQ82" s="39"/>
      <c r="UR82" s="39"/>
      <c r="US82" s="39"/>
      <c r="UT82" s="39"/>
      <c r="UU82" s="39"/>
      <c r="UV82" s="39"/>
      <c r="UW82" s="39"/>
      <c r="UX82" s="39"/>
      <c r="UY82" s="39"/>
      <c r="UZ82" s="39"/>
      <c r="VA82" s="39"/>
      <c r="VB82" s="39"/>
      <c r="VC82" s="39"/>
      <c r="VD82" s="39"/>
      <c r="VE82" s="39"/>
      <c r="VF82" s="39"/>
      <c r="VG82" s="39"/>
      <c r="VH82" s="39"/>
      <c r="VI82" s="39"/>
      <c r="VJ82" s="39"/>
      <c r="VK82" s="39"/>
      <c r="VL82" s="39"/>
      <c r="VM82" s="39"/>
      <c r="VN82" s="39"/>
      <c r="VO82" s="39"/>
      <c r="VP82" s="39"/>
      <c r="VQ82" s="39"/>
      <c r="VR82" s="39"/>
      <c r="VS82" s="39"/>
      <c r="VT82" s="39"/>
      <c r="VU82" s="39"/>
      <c r="VV82" s="39"/>
      <c r="VW82" s="39"/>
      <c r="VX82" s="39"/>
      <c r="VY82" s="39"/>
      <c r="VZ82" s="39"/>
      <c r="WA82" s="39"/>
      <c r="WB82" s="39"/>
      <c r="WC82" s="39"/>
      <c r="WD82" s="39"/>
      <c r="WE82" s="39"/>
      <c r="WF82" s="39"/>
      <c r="WG82" s="39"/>
      <c r="WH82" s="39"/>
      <c r="WI82" s="39"/>
      <c r="WJ82" s="39"/>
      <c r="WK82" s="39"/>
      <c r="WL82" s="39"/>
      <c r="WM82" s="39"/>
      <c r="WN82" s="39"/>
      <c r="WO82" s="39"/>
      <c r="WP82" s="39"/>
      <c r="WQ82" s="39"/>
      <c r="WR82" s="39"/>
      <c r="WS82" s="39"/>
      <c r="WT82" s="39"/>
      <c r="WU82" s="39"/>
      <c r="WV82" s="39"/>
      <c r="WW82" s="39"/>
      <c r="WX82" s="39"/>
      <c r="WY82" s="39"/>
      <c r="WZ82" s="39"/>
      <c r="XA82" s="39"/>
      <c r="XB82" s="39"/>
      <c r="XC82" s="39"/>
      <c r="XD82" s="39"/>
      <c r="XE82" s="39"/>
      <c r="XF82" s="39"/>
      <c r="XG82" s="39"/>
      <c r="XH82" s="39"/>
      <c r="XI82" s="39"/>
      <c r="XJ82" s="39"/>
      <c r="XK82" s="39"/>
      <c r="XL82" s="39"/>
      <c r="XM82" s="39"/>
      <c r="XN82" s="39"/>
      <c r="XO82" s="39"/>
      <c r="XP82" s="39"/>
      <c r="XQ82" s="39"/>
      <c r="XR82" s="39"/>
      <c r="XS82" s="39"/>
      <c r="XT82" s="39"/>
      <c r="XU82" s="39"/>
      <c r="XV82" s="39"/>
      <c r="XW82" s="39"/>
      <c r="XX82" s="39"/>
      <c r="XY82" s="39"/>
      <c r="XZ82" s="39"/>
      <c r="YA82" s="39"/>
      <c r="YB82" s="39"/>
      <c r="YC82" s="39"/>
      <c r="YD82" s="39"/>
      <c r="YE82" s="39"/>
      <c r="YF82" s="39"/>
      <c r="YG82" s="39"/>
      <c r="YH82" s="39"/>
      <c r="YI82" s="39"/>
      <c r="YJ82" s="39"/>
      <c r="YK82" s="39"/>
      <c r="YL82" s="39"/>
      <c r="YM82" s="39"/>
      <c r="YN82" s="39"/>
      <c r="YO82" s="39"/>
      <c r="YP82" s="39"/>
      <c r="YQ82" s="39"/>
      <c r="YR82" s="39"/>
      <c r="YS82" s="39"/>
      <c r="YT82" s="39"/>
      <c r="YU82" s="39"/>
      <c r="YV82" s="39"/>
      <c r="YW82" s="39"/>
      <c r="YX82" s="39"/>
      <c r="YY82" s="39"/>
      <c r="YZ82" s="39"/>
      <c r="ZA82" s="39"/>
      <c r="ZB82" s="39"/>
      <c r="ZC82" s="39"/>
      <c r="ZD82" s="39"/>
      <c r="ZE82" s="39"/>
      <c r="ZF82" s="39"/>
      <c r="ZG82" s="39"/>
      <c r="ZH82" s="39"/>
      <c r="ZI82" s="39"/>
      <c r="ZJ82" s="39"/>
      <c r="ZK82" s="39"/>
      <c r="ZL82" s="39"/>
      <c r="ZM82" s="39"/>
      <c r="ZN82" s="39"/>
      <c r="ZO82" s="39"/>
      <c r="ZP82" s="39"/>
      <c r="ZQ82" s="39"/>
      <c r="ZR82" s="39"/>
      <c r="ZS82" s="39"/>
      <c r="ZT82" s="39"/>
      <c r="ZU82" s="39"/>
      <c r="ZV82" s="39"/>
      <c r="ZW82" s="39"/>
      <c r="ZX82" s="39"/>
      <c r="ZY82" s="39"/>
      <c r="ZZ82" s="39"/>
      <c r="AAA82" s="39"/>
      <c r="AAB82" s="39"/>
      <c r="AAC82" s="39"/>
      <c r="AAD82" s="39"/>
      <c r="AAE82" s="39"/>
      <c r="AAF82" s="39"/>
      <c r="AAG82" s="39"/>
      <c r="AAH82" s="39"/>
      <c r="AAI82" s="39"/>
      <c r="AAJ82" s="39"/>
      <c r="AAK82" s="39"/>
      <c r="AAL82" s="39"/>
      <c r="AAM82" s="39"/>
      <c r="AAN82" s="39"/>
      <c r="AAO82" s="39"/>
      <c r="AAP82" s="39"/>
      <c r="AAQ82" s="39"/>
      <c r="AAR82" s="39"/>
      <c r="AAS82" s="39"/>
      <c r="AAT82" s="39"/>
      <c r="AAU82" s="39"/>
      <c r="AAV82" s="39"/>
      <c r="AAW82" s="39"/>
      <c r="AAX82" s="39"/>
      <c r="AAY82" s="39"/>
      <c r="AAZ82" s="39"/>
      <c r="ABA82" s="39"/>
      <c r="ABB82" s="39"/>
      <c r="ABC82" s="39"/>
      <c r="ABD82" s="39"/>
      <c r="ABE82" s="39"/>
      <c r="ABF82" s="39"/>
      <c r="ABG82" s="39"/>
      <c r="ABH82" s="39"/>
      <c r="ABI82" s="39"/>
      <c r="ABJ82" s="39"/>
      <c r="ABK82" s="39"/>
      <c r="ABL82" s="39"/>
      <c r="ABM82" s="39"/>
      <c r="ABN82" s="39"/>
      <c r="ABO82" s="39"/>
      <c r="ABP82" s="39"/>
      <c r="ABQ82" s="39"/>
      <c r="ABR82" s="39"/>
      <c r="ABS82" s="39"/>
      <c r="ABT82" s="39"/>
      <c r="ABU82" s="39"/>
      <c r="ABV82" s="39"/>
      <c r="ABW82" s="39"/>
      <c r="ABX82" s="39"/>
      <c r="ABY82" s="39"/>
      <c r="ABZ82" s="39"/>
      <c r="ACA82" s="39"/>
      <c r="ACB82" s="39"/>
      <c r="ACC82" s="39"/>
      <c r="ACD82" s="39"/>
      <c r="ACE82" s="39"/>
      <c r="ACF82" s="39"/>
      <c r="ACG82" s="39"/>
      <c r="ACH82" s="39"/>
      <c r="ACI82" s="39"/>
      <c r="ACJ82" s="39"/>
      <c r="ACK82" s="39"/>
      <c r="ACL82" s="39"/>
      <c r="ACM82" s="39"/>
      <c r="ACN82" s="39"/>
      <c r="ACO82" s="39"/>
      <c r="ACP82" s="39"/>
      <c r="ACQ82" s="39"/>
      <c r="ACR82" s="39"/>
      <c r="ACS82" s="39"/>
      <c r="ACT82" s="39"/>
      <c r="ACU82" s="39"/>
      <c r="ACV82" s="39"/>
      <c r="ACW82" s="39"/>
      <c r="ACX82" s="39"/>
      <c r="ACY82" s="39"/>
      <c r="ACZ82" s="39"/>
      <c r="ADA82" s="39"/>
      <c r="ADB82" s="39"/>
      <c r="ADC82" s="39"/>
      <c r="ADD82" s="39"/>
      <c r="ADE82" s="39"/>
      <c r="ADF82" s="39"/>
      <c r="ADG82" s="39"/>
      <c r="ADH82" s="39"/>
      <c r="ADI82" s="39"/>
      <c r="ADJ82" s="39"/>
      <c r="ADK82" s="39"/>
      <c r="ADL82" s="39"/>
      <c r="ADM82" s="39"/>
      <c r="ADN82" s="39"/>
      <c r="ADO82" s="39"/>
      <c r="ADP82" s="39"/>
      <c r="ADQ82" s="39"/>
      <c r="ADR82" s="39"/>
      <c r="ADS82" s="39"/>
      <c r="ADT82" s="39"/>
      <c r="ADU82" s="39"/>
      <c r="ADV82" s="39"/>
      <c r="ADW82" s="39"/>
      <c r="ADX82" s="39"/>
      <c r="ADY82" s="39"/>
      <c r="ADZ82" s="39"/>
      <c r="AEA82" s="39"/>
      <c r="AEB82" s="39"/>
      <c r="AEC82" s="39"/>
      <c r="AED82" s="39"/>
      <c r="AEE82" s="39"/>
      <c r="AEF82" s="39"/>
      <c r="AEG82" s="39"/>
      <c r="AEH82" s="39"/>
      <c r="AEI82" s="39"/>
      <c r="AEJ82" s="39"/>
      <c r="AEK82" s="39"/>
      <c r="AEL82" s="39"/>
      <c r="AEM82" s="39"/>
      <c r="AEN82" s="39"/>
      <c r="AEO82" s="39"/>
      <c r="AEP82" s="39"/>
      <c r="AEQ82" s="39"/>
      <c r="AER82" s="39"/>
      <c r="AES82" s="39"/>
      <c r="AET82" s="39"/>
      <c r="AEU82" s="39"/>
      <c r="AEV82" s="39"/>
      <c r="AEW82" s="39"/>
      <c r="AEX82" s="39"/>
      <c r="AEY82" s="39"/>
      <c r="AEZ82" s="39"/>
      <c r="AFA82" s="39"/>
      <c r="AFB82" s="39"/>
      <c r="AFC82" s="39"/>
      <c r="AFD82" s="39"/>
      <c r="AFE82" s="39"/>
      <c r="AFF82" s="39"/>
      <c r="AFG82" s="39"/>
      <c r="AFH82" s="39"/>
      <c r="AFI82" s="39"/>
      <c r="AFJ82" s="39"/>
      <c r="AFK82" s="39"/>
      <c r="AFL82" s="39"/>
      <c r="AFM82" s="39"/>
      <c r="AFN82" s="39"/>
      <c r="AFO82" s="39"/>
      <c r="AFP82" s="39"/>
      <c r="AFQ82" s="39"/>
      <c r="AFR82" s="39"/>
      <c r="AFS82" s="39"/>
      <c r="AFT82" s="39"/>
      <c r="AFU82" s="39"/>
      <c r="AFV82" s="39"/>
      <c r="AFW82" s="39"/>
      <c r="AFX82" s="39"/>
      <c r="AFY82" s="39"/>
      <c r="AFZ82" s="39"/>
      <c r="AGA82" s="39"/>
      <c r="AGB82" s="39"/>
      <c r="AGC82" s="39"/>
      <c r="AGD82" s="39"/>
      <c r="AGE82" s="39"/>
      <c r="AGF82" s="39"/>
      <c r="AGG82" s="39"/>
      <c r="AGH82" s="39"/>
      <c r="AGI82" s="39"/>
      <c r="AGJ82" s="39"/>
      <c r="AGK82" s="39"/>
      <c r="AGL82" s="39"/>
      <c r="AGM82" s="39"/>
      <c r="AGN82" s="39"/>
      <c r="AGO82" s="39"/>
      <c r="AGP82" s="39"/>
      <c r="AGQ82" s="39"/>
      <c r="AGR82" s="39"/>
      <c r="AGS82" s="39"/>
      <c r="AGT82" s="39"/>
      <c r="AGU82" s="39"/>
      <c r="AGV82" s="39"/>
      <c r="AGW82" s="39"/>
      <c r="AGX82" s="39"/>
      <c r="AGY82" s="39"/>
      <c r="AGZ82" s="39"/>
      <c r="AHA82" s="39"/>
      <c r="AHB82" s="39"/>
      <c r="AHC82" s="39"/>
      <c r="AHD82" s="39"/>
      <c r="AHE82" s="39"/>
      <c r="AHF82" s="39"/>
      <c r="AHG82" s="39"/>
      <c r="AHH82" s="39"/>
      <c r="AHI82" s="39"/>
      <c r="AHJ82" s="39"/>
      <c r="AHK82" s="39"/>
      <c r="AHL82" s="39"/>
      <c r="AHM82" s="39"/>
      <c r="AHN82" s="39"/>
      <c r="AHO82" s="39"/>
      <c r="AHP82" s="39"/>
      <c r="AHQ82" s="39"/>
      <c r="AHR82" s="39"/>
      <c r="AHS82" s="39"/>
      <c r="AHT82" s="39"/>
      <c r="AHU82" s="39"/>
      <c r="AHV82" s="39"/>
      <c r="AHW82" s="39"/>
      <c r="AHX82" s="39"/>
      <c r="AHY82" s="39"/>
      <c r="AHZ82" s="39"/>
      <c r="AIA82" s="39"/>
      <c r="AIB82" s="39"/>
      <c r="AIC82" s="39"/>
      <c r="AID82" s="39"/>
      <c r="AIE82" s="39"/>
      <c r="AIF82" s="39"/>
      <c r="AIG82" s="39"/>
      <c r="AIH82" s="39"/>
      <c r="AII82" s="39"/>
      <c r="AIJ82" s="39"/>
      <c r="AIK82" s="39"/>
      <c r="AIL82" s="39"/>
      <c r="AIM82" s="39"/>
      <c r="AIN82" s="39"/>
      <c r="AIO82" s="39"/>
      <c r="AIP82" s="39"/>
      <c r="AIQ82" s="39"/>
      <c r="AIR82" s="39"/>
      <c r="AIS82" s="39"/>
      <c r="AIT82" s="39"/>
      <c r="AIU82" s="39"/>
      <c r="AIV82" s="39"/>
      <c r="AIW82" s="39"/>
      <c r="AIX82" s="39"/>
      <c r="AIY82" s="39"/>
      <c r="AIZ82" s="39"/>
      <c r="AJA82" s="39"/>
      <c r="AJB82" s="39"/>
      <c r="AJC82" s="39"/>
      <c r="AJD82" s="39"/>
      <c r="AJE82" s="39"/>
      <c r="AJF82" s="39"/>
      <c r="AJG82" s="39"/>
      <c r="AJH82" s="39"/>
      <c r="AJI82" s="39"/>
      <c r="AJJ82" s="39"/>
      <c r="AJK82" s="39"/>
      <c r="AJL82" s="39"/>
      <c r="AJM82" s="39"/>
      <c r="AJN82" s="39"/>
      <c r="AJO82" s="39"/>
      <c r="AJP82" s="39"/>
      <c r="AJQ82" s="39"/>
      <c r="AJR82" s="39"/>
      <c r="AJS82" s="39"/>
      <c r="AJT82" s="39"/>
      <c r="AJU82" s="39"/>
      <c r="AJV82" s="39"/>
      <c r="AJW82" s="39"/>
      <c r="AJX82" s="39"/>
      <c r="AJY82" s="39"/>
      <c r="AJZ82" s="39"/>
      <c r="AKA82" s="39"/>
      <c r="AKB82" s="39"/>
      <c r="AKC82" s="39"/>
      <c r="AKD82" s="39"/>
      <c r="AKE82" s="39"/>
      <c r="AKF82" s="39"/>
      <c r="AKG82" s="39"/>
      <c r="AKH82" s="39"/>
      <c r="AKI82" s="39"/>
      <c r="AKJ82" s="39"/>
      <c r="AKK82" s="39"/>
      <c r="AKL82" s="39"/>
      <c r="AKM82" s="39"/>
      <c r="AKN82" s="39"/>
      <c r="AKO82" s="39"/>
      <c r="AKP82" s="39"/>
      <c r="AKQ82" s="39"/>
      <c r="AKR82" s="39"/>
      <c r="AKS82" s="39"/>
      <c r="AKT82" s="39"/>
      <c r="AKU82" s="39"/>
      <c r="AKV82" s="39"/>
      <c r="AKW82" s="39"/>
      <c r="AKX82" s="39"/>
      <c r="AKY82" s="39"/>
      <c r="AKZ82" s="39"/>
      <c r="ALA82" s="39"/>
      <c r="ALB82" s="39"/>
      <c r="ALC82" s="39"/>
      <c r="ALD82" s="39"/>
      <c r="ALE82" s="39"/>
      <c r="ALF82" s="39"/>
      <c r="ALG82" s="39"/>
      <c r="ALH82" s="39"/>
      <c r="ALI82" s="39"/>
      <c r="ALJ82" s="39"/>
      <c r="ALK82" s="39"/>
      <c r="ALL82" s="39"/>
      <c r="ALM82" s="39"/>
      <c r="ALN82" s="39"/>
      <c r="ALO82" s="39"/>
      <c r="ALP82" s="39"/>
    </row>
    <row r="83" spans="1:1004" s="102" customFormat="1" ht="13.5">
      <c r="A83" s="903"/>
      <c r="B83" s="904"/>
      <c r="C83" s="930" t="s">
        <v>309</v>
      </c>
      <c r="D83" s="906"/>
      <c r="E83" s="931">
        <v>1</v>
      </c>
      <c r="F83" s="939">
        <v>36</v>
      </c>
      <c r="G83" s="908">
        <f>E83*F83</f>
        <v>36</v>
      </c>
      <c r="H83" s="933"/>
    </row>
    <row r="84" spans="1:1004" s="102" customFormat="1" ht="13.5">
      <c r="A84" s="903"/>
      <c r="B84" s="904"/>
      <c r="C84" s="930" t="s">
        <v>310</v>
      </c>
      <c r="D84" s="906"/>
      <c r="E84" s="931">
        <v>1</v>
      </c>
      <c r="F84" s="937">
        <v>5</v>
      </c>
      <c r="G84" s="908">
        <f>E84*F84</f>
        <v>5</v>
      </c>
      <c r="H84" s="933"/>
    </row>
    <row r="85" spans="1:1004" s="102" customFormat="1" ht="13.5">
      <c r="A85" s="903"/>
      <c r="B85" s="904"/>
      <c r="C85" s="930" t="s">
        <v>283</v>
      </c>
      <c r="D85" s="906"/>
      <c r="E85" s="931">
        <v>2</v>
      </c>
      <c r="F85" s="936">
        <v>5</v>
      </c>
      <c r="G85" s="908">
        <f>E85*F85</f>
        <v>10</v>
      </c>
      <c r="H85" s="933"/>
    </row>
    <row r="86" spans="1:1004" s="39" customFormat="1" ht="11.45" customHeight="1">
      <c r="A86" s="23"/>
      <c r="B86" s="24"/>
      <c r="C86" s="30"/>
      <c r="D86" s="25"/>
      <c r="E86" s="26"/>
      <c r="F86" s="27" t="s">
        <v>15</v>
      </c>
      <c r="G86" s="28">
        <f>SUM(G80:G85)</f>
        <v>143</v>
      </c>
      <c r="H86" s="29"/>
    </row>
    <row r="87" spans="1:1004" s="39" customFormat="1" ht="11.45" customHeight="1">
      <c r="A87" s="914"/>
      <c r="B87" s="915"/>
      <c r="C87" s="916"/>
      <c r="D87" s="917"/>
      <c r="E87" s="918"/>
      <c r="F87" s="919" t="s">
        <v>16</v>
      </c>
      <c r="G87" s="920">
        <v>1.2</v>
      </c>
      <c r="H87" s="921"/>
    </row>
    <row r="88" spans="1:1004" s="39" customFormat="1" ht="11.45" customHeight="1">
      <c r="A88" s="922"/>
      <c r="B88" s="923"/>
      <c r="C88" s="924"/>
      <c r="D88" s="925"/>
      <c r="E88" s="926"/>
      <c r="F88" s="927" t="s">
        <v>17</v>
      </c>
      <c r="G88" s="928">
        <f>G86*G87</f>
        <v>171.6</v>
      </c>
      <c r="H88" s="929"/>
    </row>
    <row r="89" spans="1:1004" s="39" customFormat="1" ht="13.5">
      <c r="A89" s="802" t="s">
        <v>311</v>
      </c>
      <c r="B89" s="149"/>
      <c r="C89" s="150"/>
      <c r="D89" s="151"/>
      <c r="E89" s="151"/>
      <c r="F89" s="152"/>
      <c r="G89" s="152"/>
      <c r="H89" s="803"/>
    </row>
    <row r="90" spans="1:1004" s="102" customFormat="1" ht="13.5">
      <c r="A90" s="903"/>
      <c r="B90" s="904"/>
      <c r="C90" s="930" t="s">
        <v>312</v>
      </c>
      <c r="D90" s="906"/>
      <c r="E90" s="931">
        <v>1</v>
      </c>
      <c r="F90" s="932">
        <v>10</v>
      </c>
      <c r="G90" s="908">
        <f>E90*F90</f>
        <v>10</v>
      </c>
      <c r="H90" s="933"/>
    </row>
    <row r="91" spans="1:1004" s="102" customFormat="1" ht="13.5">
      <c r="A91" s="903"/>
      <c r="B91" s="904"/>
      <c r="C91" s="930" t="s">
        <v>313</v>
      </c>
      <c r="D91" s="906"/>
      <c r="E91" s="931">
        <v>1</v>
      </c>
      <c r="F91" s="939">
        <v>15</v>
      </c>
      <c r="G91" s="908">
        <f>E91*F91</f>
        <v>15</v>
      </c>
      <c r="H91" s="933"/>
    </row>
    <row r="92" spans="1:1004" s="102" customFormat="1" ht="13.5">
      <c r="A92" s="903"/>
      <c r="B92" s="904"/>
      <c r="C92" s="930" t="s">
        <v>314</v>
      </c>
      <c r="D92" s="906"/>
      <c r="E92" s="931">
        <v>1</v>
      </c>
      <c r="F92" s="932">
        <v>24</v>
      </c>
      <c r="G92" s="908">
        <f>E92*F92</f>
        <v>24</v>
      </c>
      <c r="H92" s="933"/>
    </row>
    <row r="93" spans="1:1004" s="39" customFormat="1" ht="11.45" customHeight="1">
      <c r="A93" s="23"/>
      <c r="B93" s="24"/>
      <c r="C93" s="30"/>
      <c r="D93" s="25"/>
      <c r="E93" s="26"/>
      <c r="F93" s="27" t="s">
        <v>15</v>
      </c>
      <c r="G93" s="28">
        <f>SUM(G90:G92)</f>
        <v>49</v>
      </c>
      <c r="H93" s="29"/>
    </row>
    <row r="94" spans="1:1004" s="39" customFormat="1" ht="11.45" customHeight="1">
      <c r="A94" s="914"/>
      <c r="B94" s="915"/>
      <c r="C94" s="916"/>
      <c r="D94" s="917"/>
      <c r="E94" s="918"/>
      <c r="F94" s="919" t="s">
        <v>16</v>
      </c>
      <c r="G94" s="920">
        <v>1.2</v>
      </c>
      <c r="H94" s="921"/>
    </row>
    <row r="95" spans="1:1004" s="39" customFormat="1" ht="11.45" customHeight="1">
      <c r="A95" s="922"/>
      <c r="B95" s="923"/>
      <c r="C95" s="924"/>
      <c r="D95" s="925"/>
      <c r="E95" s="926"/>
      <c r="F95" s="927" t="s">
        <v>17</v>
      </c>
      <c r="G95" s="928">
        <f>G93*G94</f>
        <v>58.8</v>
      </c>
      <c r="H95" s="929"/>
    </row>
    <row r="96" spans="1:1004" s="39" customFormat="1" ht="13.5">
      <c r="A96" s="802" t="s">
        <v>315</v>
      </c>
      <c r="B96" s="149"/>
      <c r="C96" s="150"/>
      <c r="D96" s="151"/>
      <c r="E96" s="151"/>
      <c r="F96" s="152"/>
      <c r="G96" s="152"/>
      <c r="H96" s="803"/>
    </row>
    <row r="97" spans="1:1004" s="42" customFormat="1" ht="13.5">
      <c r="A97" s="903"/>
      <c r="B97" s="904"/>
      <c r="C97" s="930" t="s">
        <v>316</v>
      </c>
      <c r="D97" s="906"/>
      <c r="E97" s="908">
        <v>3</v>
      </c>
      <c r="F97" s="908">
        <v>40</v>
      </c>
      <c r="G97" s="908">
        <f>E97*F97</f>
        <v>120</v>
      </c>
      <c r="H97" s="933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  <c r="GN97" s="39"/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39"/>
      <c r="IF97" s="39"/>
      <c r="IG97" s="39"/>
      <c r="IH97" s="39"/>
      <c r="II97" s="39"/>
      <c r="IJ97" s="39"/>
      <c r="IK97" s="39"/>
      <c r="IL97" s="39"/>
      <c r="IM97" s="39"/>
      <c r="IN97" s="39"/>
      <c r="IO97" s="39"/>
      <c r="IP97" s="39"/>
      <c r="IQ97" s="39"/>
      <c r="IR97" s="39"/>
      <c r="IS97" s="39"/>
      <c r="IT97" s="39"/>
      <c r="IU97" s="39"/>
      <c r="IV97" s="39"/>
      <c r="IW97" s="39"/>
      <c r="IX97" s="39"/>
      <c r="IY97" s="39"/>
      <c r="IZ97" s="39"/>
      <c r="JA97" s="39"/>
      <c r="JB97" s="39"/>
      <c r="JC97" s="39"/>
      <c r="JD97" s="39"/>
      <c r="JE97" s="39"/>
      <c r="JF97" s="39"/>
      <c r="JG97" s="39"/>
      <c r="JH97" s="39"/>
      <c r="JI97" s="39"/>
      <c r="JJ97" s="39"/>
      <c r="JK97" s="39"/>
      <c r="JL97" s="39"/>
      <c r="JM97" s="39"/>
      <c r="JN97" s="39"/>
      <c r="JO97" s="39"/>
      <c r="JP97" s="39"/>
      <c r="JQ97" s="39"/>
      <c r="JR97" s="39"/>
      <c r="JS97" s="39"/>
      <c r="JT97" s="39"/>
      <c r="JU97" s="39"/>
      <c r="JV97" s="39"/>
      <c r="JW97" s="39"/>
      <c r="JX97" s="39"/>
      <c r="JY97" s="39"/>
      <c r="JZ97" s="39"/>
      <c r="KA97" s="39"/>
      <c r="KB97" s="39"/>
      <c r="KC97" s="39"/>
      <c r="KD97" s="39"/>
      <c r="KE97" s="39"/>
      <c r="KF97" s="39"/>
      <c r="KG97" s="39"/>
      <c r="KH97" s="39"/>
      <c r="KI97" s="39"/>
      <c r="KJ97" s="39"/>
      <c r="KK97" s="39"/>
      <c r="KL97" s="39"/>
      <c r="KM97" s="39"/>
      <c r="KN97" s="39"/>
      <c r="KO97" s="39"/>
      <c r="KP97" s="39"/>
      <c r="KQ97" s="39"/>
      <c r="KR97" s="39"/>
      <c r="KS97" s="39"/>
      <c r="KT97" s="39"/>
      <c r="KU97" s="39"/>
      <c r="KV97" s="39"/>
      <c r="KW97" s="39"/>
      <c r="KX97" s="39"/>
      <c r="KY97" s="39"/>
      <c r="KZ97" s="39"/>
      <c r="LA97" s="39"/>
      <c r="LB97" s="39"/>
      <c r="LC97" s="39"/>
      <c r="LD97" s="39"/>
      <c r="LE97" s="39"/>
      <c r="LF97" s="39"/>
      <c r="LG97" s="39"/>
      <c r="LH97" s="39"/>
      <c r="LI97" s="39"/>
      <c r="LJ97" s="39"/>
      <c r="LK97" s="39"/>
      <c r="LL97" s="39"/>
      <c r="LM97" s="39"/>
      <c r="LN97" s="39"/>
      <c r="LO97" s="39"/>
      <c r="LP97" s="39"/>
      <c r="LQ97" s="39"/>
      <c r="LR97" s="39"/>
      <c r="LS97" s="39"/>
      <c r="LT97" s="39"/>
      <c r="LU97" s="39"/>
      <c r="LV97" s="39"/>
      <c r="LW97" s="39"/>
      <c r="LX97" s="39"/>
      <c r="LY97" s="39"/>
      <c r="LZ97" s="39"/>
      <c r="MA97" s="39"/>
      <c r="MB97" s="39"/>
      <c r="MC97" s="39"/>
      <c r="MD97" s="39"/>
      <c r="ME97" s="39"/>
      <c r="MF97" s="39"/>
      <c r="MG97" s="39"/>
      <c r="MH97" s="39"/>
      <c r="MI97" s="39"/>
      <c r="MJ97" s="39"/>
      <c r="MK97" s="39"/>
      <c r="ML97" s="39"/>
      <c r="MM97" s="39"/>
      <c r="MN97" s="39"/>
      <c r="MO97" s="39"/>
      <c r="MP97" s="39"/>
      <c r="MQ97" s="39"/>
      <c r="MR97" s="39"/>
      <c r="MS97" s="39"/>
      <c r="MT97" s="39"/>
      <c r="MU97" s="39"/>
      <c r="MV97" s="39"/>
      <c r="MW97" s="39"/>
      <c r="MX97" s="39"/>
      <c r="MY97" s="39"/>
      <c r="MZ97" s="39"/>
      <c r="NA97" s="39"/>
      <c r="NB97" s="39"/>
      <c r="NC97" s="39"/>
      <c r="ND97" s="39"/>
      <c r="NE97" s="39"/>
      <c r="NF97" s="39"/>
      <c r="NG97" s="39"/>
      <c r="NH97" s="39"/>
      <c r="NI97" s="39"/>
      <c r="NJ97" s="39"/>
      <c r="NK97" s="39"/>
      <c r="NL97" s="39"/>
      <c r="NM97" s="39"/>
      <c r="NN97" s="39"/>
      <c r="NO97" s="39"/>
      <c r="NP97" s="39"/>
      <c r="NQ97" s="39"/>
      <c r="NR97" s="39"/>
      <c r="NS97" s="39"/>
      <c r="NT97" s="39"/>
      <c r="NU97" s="39"/>
      <c r="NV97" s="39"/>
      <c r="NW97" s="39"/>
      <c r="NX97" s="39"/>
      <c r="NY97" s="39"/>
      <c r="NZ97" s="39"/>
      <c r="OA97" s="39"/>
      <c r="OB97" s="39"/>
      <c r="OC97" s="39"/>
      <c r="OD97" s="39"/>
      <c r="OE97" s="39"/>
      <c r="OF97" s="39"/>
      <c r="OG97" s="39"/>
      <c r="OH97" s="39"/>
      <c r="OI97" s="39"/>
      <c r="OJ97" s="39"/>
      <c r="OK97" s="39"/>
      <c r="OL97" s="39"/>
      <c r="OM97" s="39"/>
      <c r="ON97" s="39"/>
      <c r="OO97" s="39"/>
      <c r="OP97" s="39"/>
      <c r="OQ97" s="39"/>
      <c r="OR97" s="39"/>
      <c r="OS97" s="39"/>
      <c r="OT97" s="39"/>
      <c r="OU97" s="39"/>
      <c r="OV97" s="39"/>
      <c r="OW97" s="39"/>
      <c r="OX97" s="39"/>
      <c r="OY97" s="39"/>
      <c r="OZ97" s="39"/>
      <c r="PA97" s="39"/>
      <c r="PB97" s="39"/>
      <c r="PC97" s="39"/>
      <c r="PD97" s="39"/>
      <c r="PE97" s="39"/>
      <c r="PF97" s="39"/>
      <c r="PG97" s="39"/>
      <c r="PH97" s="39"/>
      <c r="PI97" s="39"/>
      <c r="PJ97" s="39"/>
      <c r="PK97" s="39"/>
      <c r="PL97" s="39"/>
      <c r="PM97" s="39"/>
      <c r="PN97" s="39"/>
      <c r="PO97" s="39"/>
      <c r="PP97" s="39"/>
      <c r="PQ97" s="39"/>
      <c r="PR97" s="39"/>
      <c r="PS97" s="39"/>
      <c r="PT97" s="39"/>
      <c r="PU97" s="39"/>
      <c r="PV97" s="39"/>
      <c r="PW97" s="39"/>
      <c r="PX97" s="39"/>
      <c r="PY97" s="39"/>
      <c r="PZ97" s="39"/>
      <c r="QA97" s="39"/>
      <c r="QB97" s="39"/>
      <c r="QC97" s="39"/>
      <c r="QD97" s="39"/>
      <c r="QE97" s="39"/>
      <c r="QF97" s="39"/>
      <c r="QG97" s="39"/>
      <c r="QH97" s="39"/>
      <c r="QI97" s="39"/>
      <c r="QJ97" s="39"/>
      <c r="QK97" s="39"/>
      <c r="QL97" s="39"/>
      <c r="QM97" s="39"/>
      <c r="QN97" s="39"/>
      <c r="QO97" s="39"/>
      <c r="QP97" s="39"/>
      <c r="QQ97" s="39"/>
      <c r="QR97" s="39"/>
      <c r="QS97" s="39"/>
      <c r="QT97" s="39"/>
      <c r="QU97" s="39"/>
      <c r="QV97" s="39"/>
      <c r="QW97" s="39"/>
      <c r="QX97" s="39"/>
      <c r="QY97" s="39"/>
      <c r="QZ97" s="39"/>
      <c r="RA97" s="39"/>
      <c r="RB97" s="39"/>
      <c r="RC97" s="39"/>
      <c r="RD97" s="39"/>
      <c r="RE97" s="39"/>
      <c r="RF97" s="39"/>
      <c r="RG97" s="39"/>
      <c r="RH97" s="39"/>
      <c r="RI97" s="39"/>
      <c r="RJ97" s="39"/>
      <c r="RK97" s="39"/>
      <c r="RL97" s="39"/>
      <c r="RM97" s="39"/>
      <c r="RN97" s="39"/>
      <c r="RO97" s="39"/>
      <c r="RP97" s="39"/>
      <c r="RQ97" s="39"/>
      <c r="RR97" s="39"/>
      <c r="RS97" s="39"/>
      <c r="RT97" s="39"/>
      <c r="RU97" s="39"/>
      <c r="RV97" s="39"/>
      <c r="RW97" s="39"/>
      <c r="RX97" s="39"/>
      <c r="RY97" s="39"/>
      <c r="RZ97" s="39"/>
      <c r="SA97" s="39"/>
      <c r="SB97" s="39"/>
      <c r="SC97" s="39"/>
      <c r="SD97" s="39"/>
      <c r="SE97" s="39"/>
      <c r="SF97" s="39"/>
      <c r="SG97" s="39"/>
      <c r="SH97" s="39"/>
      <c r="SI97" s="39"/>
      <c r="SJ97" s="39"/>
      <c r="SK97" s="39"/>
      <c r="SL97" s="39"/>
      <c r="SM97" s="39"/>
      <c r="SN97" s="39"/>
      <c r="SO97" s="39"/>
      <c r="SP97" s="39"/>
      <c r="SQ97" s="39"/>
      <c r="SR97" s="39"/>
      <c r="SS97" s="39"/>
      <c r="ST97" s="39"/>
      <c r="SU97" s="39"/>
      <c r="SV97" s="39"/>
      <c r="SW97" s="39"/>
      <c r="SX97" s="39"/>
      <c r="SY97" s="39"/>
      <c r="SZ97" s="39"/>
      <c r="TA97" s="39"/>
      <c r="TB97" s="39"/>
      <c r="TC97" s="39"/>
      <c r="TD97" s="39"/>
      <c r="TE97" s="39"/>
      <c r="TF97" s="39"/>
      <c r="TG97" s="39"/>
      <c r="TH97" s="39"/>
      <c r="TI97" s="39"/>
      <c r="TJ97" s="39"/>
      <c r="TK97" s="39"/>
      <c r="TL97" s="39"/>
      <c r="TM97" s="39"/>
      <c r="TN97" s="39"/>
      <c r="TO97" s="39"/>
      <c r="TP97" s="39"/>
      <c r="TQ97" s="39"/>
      <c r="TR97" s="39"/>
      <c r="TS97" s="39"/>
      <c r="TT97" s="39"/>
      <c r="TU97" s="39"/>
      <c r="TV97" s="39"/>
      <c r="TW97" s="39"/>
      <c r="TX97" s="39"/>
      <c r="TY97" s="39"/>
      <c r="TZ97" s="39"/>
      <c r="UA97" s="39"/>
      <c r="UB97" s="39"/>
      <c r="UC97" s="39"/>
      <c r="UD97" s="39"/>
      <c r="UE97" s="39"/>
      <c r="UF97" s="39"/>
      <c r="UG97" s="39"/>
      <c r="UH97" s="39"/>
      <c r="UI97" s="39"/>
      <c r="UJ97" s="39"/>
      <c r="UK97" s="39"/>
      <c r="UL97" s="39"/>
      <c r="UM97" s="39"/>
      <c r="UN97" s="39"/>
      <c r="UO97" s="39"/>
      <c r="UP97" s="39"/>
      <c r="UQ97" s="39"/>
      <c r="UR97" s="39"/>
      <c r="US97" s="39"/>
      <c r="UT97" s="39"/>
      <c r="UU97" s="39"/>
      <c r="UV97" s="39"/>
      <c r="UW97" s="39"/>
      <c r="UX97" s="39"/>
      <c r="UY97" s="39"/>
      <c r="UZ97" s="39"/>
      <c r="VA97" s="39"/>
      <c r="VB97" s="39"/>
      <c r="VC97" s="39"/>
      <c r="VD97" s="39"/>
      <c r="VE97" s="39"/>
      <c r="VF97" s="39"/>
      <c r="VG97" s="39"/>
      <c r="VH97" s="39"/>
      <c r="VI97" s="39"/>
      <c r="VJ97" s="39"/>
      <c r="VK97" s="39"/>
      <c r="VL97" s="39"/>
      <c r="VM97" s="39"/>
      <c r="VN97" s="39"/>
      <c r="VO97" s="39"/>
      <c r="VP97" s="39"/>
      <c r="VQ97" s="39"/>
      <c r="VR97" s="39"/>
      <c r="VS97" s="39"/>
      <c r="VT97" s="39"/>
      <c r="VU97" s="39"/>
      <c r="VV97" s="39"/>
      <c r="VW97" s="39"/>
      <c r="VX97" s="39"/>
      <c r="VY97" s="39"/>
      <c r="VZ97" s="39"/>
      <c r="WA97" s="39"/>
      <c r="WB97" s="39"/>
      <c r="WC97" s="39"/>
      <c r="WD97" s="39"/>
      <c r="WE97" s="39"/>
      <c r="WF97" s="39"/>
      <c r="WG97" s="39"/>
      <c r="WH97" s="39"/>
      <c r="WI97" s="39"/>
      <c r="WJ97" s="39"/>
      <c r="WK97" s="39"/>
      <c r="WL97" s="39"/>
      <c r="WM97" s="39"/>
      <c r="WN97" s="39"/>
      <c r="WO97" s="39"/>
      <c r="WP97" s="39"/>
      <c r="WQ97" s="39"/>
      <c r="WR97" s="39"/>
      <c r="WS97" s="39"/>
      <c r="WT97" s="39"/>
      <c r="WU97" s="39"/>
      <c r="WV97" s="39"/>
      <c r="WW97" s="39"/>
      <c r="WX97" s="39"/>
      <c r="WY97" s="39"/>
      <c r="WZ97" s="39"/>
      <c r="XA97" s="39"/>
      <c r="XB97" s="39"/>
      <c r="XC97" s="39"/>
      <c r="XD97" s="39"/>
      <c r="XE97" s="39"/>
      <c r="XF97" s="39"/>
      <c r="XG97" s="39"/>
      <c r="XH97" s="39"/>
      <c r="XI97" s="39"/>
      <c r="XJ97" s="39"/>
      <c r="XK97" s="39"/>
      <c r="XL97" s="39"/>
      <c r="XM97" s="39"/>
      <c r="XN97" s="39"/>
      <c r="XO97" s="39"/>
      <c r="XP97" s="39"/>
      <c r="XQ97" s="39"/>
      <c r="XR97" s="39"/>
      <c r="XS97" s="39"/>
      <c r="XT97" s="39"/>
      <c r="XU97" s="39"/>
      <c r="XV97" s="39"/>
      <c r="XW97" s="39"/>
      <c r="XX97" s="39"/>
      <c r="XY97" s="39"/>
      <c r="XZ97" s="39"/>
      <c r="YA97" s="39"/>
      <c r="YB97" s="39"/>
      <c r="YC97" s="39"/>
      <c r="YD97" s="39"/>
      <c r="YE97" s="39"/>
      <c r="YF97" s="39"/>
      <c r="YG97" s="39"/>
      <c r="YH97" s="39"/>
      <c r="YI97" s="39"/>
      <c r="YJ97" s="39"/>
      <c r="YK97" s="39"/>
      <c r="YL97" s="39"/>
      <c r="YM97" s="39"/>
      <c r="YN97" s="39"/>
      <c r="YO97" s="39"/>
      <c r="YP97" s="39"/>
      <c r="YQ97" s="39"/>
      <c r="YR97" s="39"/>
      <c r="YS97" s="39"/>
      <c r="YT97" s="39"/>
      <c r="YU97" s="39"/>
      <c r="YV97" s="39"/>
      <c r="YW97" s="39"/>
      <c r="YX97" s="39"/>
      <c r="YY97" s="39"/>
      <c r="YZ97" s="39"/>
      <c r="ZA97" s="39"/>
      <c r="ZB97" s="39"/>
      <c r="ZC97" s="39"/>
      <c r="ZD97" s="39"/>
      <c r="ZE97" s="39"/>
      <c r="ZF97" s="39"/>
      <c r="ZG97" s="39"/>
      <c r="ZH97" s="39"/>
      <c r="ZI97" s="39"/>
      <c r="ZJ97" s="39"/>
      <c r="ZK97" s="39"/>
      <c r="ZL97" s="39"/>
      <c r="ZM97" s="39"/>
      <c r="ZN97" s="39"/>
      <c r="ZO97" s="39"/>
      <c r="ZP97" s="39"/>
      <c r="ZQ97" s="39"/>
      <c r="ZR97" s="39"/>
      <c r="ZS97" s="39"/>
      <c r="ZT97" s="39"/>
      <c r="ZU97" s="39"/>
      <c r="ZV97" s="39"/>
      <c r="ZW97" s="39"/>
      <c r="ZX97" s="39"/>
      <c r="ZY97" s="39"/>
      <c r="ZZ97" s="39"/>
      <c r="AAA97" s="39"/>
      <c r="AAB97" s="39"/>
      <c r="AAC97" s="39"/>
      <c r="AAD97" s="39"/>
      <c r="AAE97" s="39"/>
      <c r="AAF97" s="39"/>
      <c r="AAG97" s="39"/>
      <c r="AAH97" s="39"/>
      <c r="AAI97" s="39"/>
      <c r="AAJ97" s="39"/>
      <c r="AAK97" s="39"/>
      <c r="AAL97" s="39"/>
      <c r="AAM97" s="39"/>
      <c r="AAN97" s="39"/>
      <c r="AAO97" s="39"/>
      <c r="AAP97" s="39"/>
      <c r="AAQ97" s="39"/>
      <c r="AAR97" s="39"/>
      <c r="AAS97" s="39"/>
      <c r="AAT97" s="39"/>
      <c r="AAU97" s="39"/>
      <c r="AAV97" s="39"/>
      <c r="AAW97" s="39"/>
      <c r="AAX97" s="39"/>
      <c r="AAY97" s="39"/>
      <c r="AAZ97" s="39"/>
      <c r="ABA97" s="39"/>
      <c r="ABB97" s="39"/>
      <c r="ABC97" s="39"/>
      <c r="ABD97" s="39"/>
      <c r="ABE97" s="39"/>
      <c r="ABF97" s="39"/>
      <c r="ABG97" s="39"/>
      <c r="ABH97" s="39"/>
      <c r="ABI97" s="39"/>
      <c r="ABJ97" s="39"/>
      <c r="ABK97" s="39"/>
      <c r="ABL97" s="39"/>
      <c r="ABM97" s="39"/>
      <c r="ABN97" s="39"/>
      <c r="ABO97" s="39"/>
      <c r="ABP97" s="39"/>
      <c r="ABQ97" s="39"/>
      <c r="ABR97" s="39"/>
      <c r="ABS97" s="39"/>
      <c r="ABT97" s="39"/>
      <c r="ABU97" s="39"/>
      <c r="ABV97" s="39"/>
      <c r="ABW97" s="39"/>
      <c r="ABX97" s="39"/>
      <c r="ABY97" s="39"/>
      <c r="ABZ97" s="39"/>
      <c r="ACA97" s="39"/>
      <c r="ACB97" s="39"/>
      <c r="ACC97" s="39"/>
      <c r="ACD97" s="39"/>
      <c r="ACE97" s="39"/>
      <c r="ACF97" s="39"/>
      <c r="ACG97" s="39"/>
      <c r="ACH97" s="39"/>
      <c r="ACI97" s="39"/>
      <c r="ACJ97" s="39"/>
      <c r="ACK97" s="39"/>
      <c r="ACL97" s="39"/>
      <c r="ACM97" s="39"/>
      <c r="ACN97" s="39"/>
      <c r="ACO97" s="39"/>
      <c r="ACP97" s="39"/>
      <c r="ACQ97" s="39"/>
      <c r="ACR97" s="39"/>
      <c r="ACS97" s="39"/>
      <c r="ACT97" s="39"/>
      <c r="ACU97" s="39"/>
      <c r="ACV97" s="39"/>
      <c r="ACW97" s="39"/>
      <c r="ACX97" s="39"/>
      <c r="ACY97" s="39"/>
      <c r="ACZ97" s="39"/>
      <c r="ADA97" s="39"/>
      <c r="ADB97" s="39"/>
      <c r="ADC97" s="39"/>
      <c r="ADD97" s="39"/>
      <c r="ADE97" s="39"/>
      <c r="ADF97" s="39"/>
      <c r="ADG97" s="39"/>
      <c r="ADH97" s="39"/>
      <c r="ADI97" s="39"/>
      <c r="ADJ97" s="39"/>
      <c r="ADK97" s="39"/>
      <c r="ADL97" s="39"/>
      <c r="ADM97" s="39"/>
      <c r="ADN97" s="39"/>
      <c r="ADO97" s="39"/>
      <c r="ADP97" s="39"/>
      <c r="ADQ97" s="39"/>
      <c r="ADR97" s="39"/>
      <c r="ADS97" s="39"/>
      <c r="ADT97" s="39"/>
      <c r="ADU97" s="39"/>
      <c r="ADV97" s="39"/>
      <c r="ADW97" s="39"/>
      <c r="ADX97" s="39"/>
      <c r="ADY97" s="39"/>
      <c r="ADZ97" s="39"/>
      <c r="AEA97" s="39"/>
      <c r="AEB97" s="39"/>
      <c r="AEC97" s="39"/>
      <c r="AED97" s="39"/>
      <c r="AEE97" s="39"/>
      <c r="AEF97" s="39"/>
      <c r="AEG97" s="39"/>
      <c r="AEH97" s="39"/>
      <c r="AEI97" s="39"/>
      <c r="AEJ97" s="39"/>
      <c r="AEK97" s="39"/>
      <c r="AEL97" s="39"/>
      <c r="AEM97" s="39"/>
      <c r="AEN97" s="39"/>
      <c r="AEO97" s="39"/>
      <c r="AEP97" s="39"/>
      <c r="AEQ97" s="39"/>
      <c r="AER97" s="39"/>
      <c r="AES97" s="39"/>
      <c r="AET97" s="39"/>
      <c r="AEU97" s="39"/>
      <c r="AEV97" s="39"/>
      <c r="AEW97" s="39"/>
      <c r="AEX97" s="39"/>
      <c r="AEY97" s="39"/>
      <c r="AEZ97" s="39"/>
      <c r="AFA97" s="39"/>
      <c r="AFB97" s="39"/>
      <c r="AFC97" s="39"/>
      <c r="AFD97" s="39"/>
      <c r="AFE97" s="39"/>
      <c r="AFF97" s="39"/>
      <c r="AFG97" s="39"/>
      <c r="AFH97" s="39"/>
      <c r="AFI97" s="39"/>
      <c r="AFJ97" s="39"/>
      <c r="AFK97" s="39"/>
      <c r="AFL97" s="39"/>
      <c r="AFM97" s="39"/>
      <c r="AFN97" s="39"/>
      <c r="AFO97" s="39"/>
      <c r="AFP97" s="39"/>
      <c r="AFQ97" s="39"/>
      <c r="AFR97" s="39"/>
      <c r="AFS97" s="39"/>
      <c r="AFT97" s="39"/>
      <c r="AFU97" s="39"/>
      <c r="AFV97" s="39"/>
      <c r="AFW97" s="39"/>
      <c r="AFX97" s="39"/>
      <c r="AFY97" s="39"/>
      <c r="AFZ97" s="39"/>
      <c r="AGA97" s="39"/>
      <c r="AGB97" s="39"/>
      <c r="AGC97" s="39"/>
      <c r="AGD97" s="39"/>
      <c r="AGE97" s="39"/>
      <c r="AGF97" s="39"/>
      <c r="AGG97" s="39"/>
      <c r="AGH97" s="39"/>
      <c r="AGI97" s="39"/>
      <c r="AGJ97" s="39"/>
      <c r="AGK97" s="39"/>
      <c r="AGL97" s="39"/>
      <c r="AGM97" s="39"/>
      <c r="AGN97" s="39"/>
      <c r="AGO97" s="39"/>
      <c r="AGP97" s="39"/>
      <c r="AGQ97" s="39"/>
      <c r="AGR97" s="39"/>
      <c r="AGS97" s="39"/>
      <c r="AGT97" s="39"/>
      <c r="AGU97" s="39"/>
      <c r="AGV97" s="39"/>
      <c r="AGW97" s="39"/>
      <c r="AGX97" s="39"/>
      <c r="AGY97" s="39"/>
      <c r="AGZ97" s="39"/>
      <c r="AHA97" s="39"/>
      <c r="AHB97" s="39"/>
      <c r="AHC97" s="39"/>
      <c r="AHD97" s="39"/>
      <c r="AHE97" s="39"/>
      <c r="AHF97" s="39"/>
      <c r="AHG97" s="39"/>
      <c r="AHH97" s="39"/>
      <c r="AHI97" s="39"/>
      <c r="AHJ97" s="39"/>
      <c r="AHK97" s="39"/>
      <c r="AHL97" s="39"/>
      <c r="AHM97" s="39"/>
      <c r="AHN97" s="39"/>
      <c r="AHO97" s="39"/>
      <c r="AHP97" s="39"/>
      <c r="AHQ97" s="39"/>
      <c r="AHR97" s="39"/>
      <c r="AHS97" s="39"/>
      <c r="AHT97" s="39"/>
      <c r="AHU97" s="39"/>
      <c r="AHV97" s="39"/>
      <c r="AHW97" s="39"/>
      <c r="AHX97" s="39"/>
      <c r="AHY97" s="39"/>
      <c r="AHZ97" s="39"/>
      <c r="AIA97" s="39"/>
      <c r="AIB97" s="39"/>
      <c r="AIC97" s="39"/>
      <c r="AID97" s="39"/>
      <c r="AIE97" s="39"/>
      <c r="AIF97" s="39"/>
      <c r="AIG97" s="39"/>
      <c r="AIH97" s="39"/>
      <c r="AII97" s="39"/>
      <c r="AIJ97" s="39"/>
      <c r="AIK97" s="39"/>
      <c r="AIL97" s="39"/>
      <c r="AIM97" s="39"/>
      <c r="AIN97" s="39"/>
      <c r="AIO97" s="39"/>
      <c r="AIP97" s="39"/>
      <c r="AIQ97" s="39"/>
      <c r="AIR97" s="39"/>
      <c r="AIS97" s="39"/>
      <c r="AIT97" s="39"/>
      <c r="AIU97" s="39"/>
      <c r="AIV97" s="39"/>
      <c r="AIW97" s="39"/>
      <c r="AIX97" s="39"/>
      <c r="AIY97" s="39"/>
      <c r="AIZ97" s="39"/>
      <c r="AJA97" s="39"/>
      <c r="AJB97" s="39"/>
      <c r="AJC97" s="39"/>
      <c r="AJD97" s="39"/>
      <c r="AJE97" s="39"/>
      <c r="AJF97" s="39"/>
      <c r="AJG97" s="39"/>
      <c r="AJH97" s="39"/>
      <c r="AJI97" s="39"/>
      <c r="AJJ97" s="39"/>
      <c r="AJK97" s="39"/>
      <c r="AJL97" s="39"/>
      <c r="AJM97" s="39"/>
      <c r="AJN97" s="39"/>
      <c r="AJO97" s="39"/>
      <c r="AJP97" s="39"/>
      <c r="AJQ97" s="39"/>
      <c r="AJR97" s="39"/>
      <c r="AJS97" s="39"/>
      <c r="AJT97" s="39"/>
      <c r="AJU97" s="39"/>
      <c r="AJV97" s="39"/>
      <c r="AJW97" s="39"/>
      <c r="AJX97" s="39"/>
      <c r="AJY97" s="39"/>
      <c r="AJZ97" s="39"/>
      <c r="AKA97" s="39"/>
      <c r="AKB97" s="39"/>
      <c r="AKC97" s="39"/>
      <c r="AKD97" s="39"/>
      <c r="AKE97" s="39"/>
      <c r="AKF97" s="39"/>
      <c r="AKG97" s="39"/>
      <c r="AKH97" s="39"/>
      <c r="AKI97" s="39"/>
      <c r="AKJ97" s="39"/>
      <c r="AKK97" s="39"/>
      <c r="AKL97" s="39"/>
      <c r="AKM97" s="39"/>
      <c r="AKN97" s="39"/>
      <c r="AKO97" s="39"/>
      <c r="AKP97" s="39"/>
      <c r="AKQ97" s="39"/>
      <c r="AKR97" s="39"/>
      <c r="AKS97" s="39"/>
      <c r="AKT97" s="39"/>
      <c r="AKU97" s="39"/>
      <c r="AKV97" s="39"/>
      <c r="AKW97" s="39"/>
      <c r="AKX97" s="39"/>
      <c r="AKY97" s="39"/>
      <c r="AKZ97" s="39"/>
      <c r="ALA97" s="39"/>
      <c r="ALB97" s="39"/>
      <c r="ALC97" s="39"/>
      <c r="ALD97" s="39"/>
      <c r="ALE97" s="39"/>
      <c r="ALF97" s="39"/>
      <c r="ALG97" s="39"/>
      <c r="ALH97" s="39"/>
      <c r="ALI97" s="39"/>
      <c r="ALJ97" s="39"/>
      <c r="ALK97" s="39"/>
      <c r="ALL97" s="39"/>
      <c r="ALM97" s="39"/>
      <c r="ALN97" s="39"/>
      <c r="ALO97" s="39"/>
      <c r="ALP97" s="39"/>
    </row>
    <row r="98" spans="1:1004" s="42" customFormat="1" ht="13.5">
      <c r="A98" s="903"/>
      <c r="B98" s="904"/>
      <c r="C98" s="930" t="s">
        <v>317</v>
      </c>
      <c r="D98" s="906"/>
      <c r="E98" s="908">
        <v>1</v>
      </c>
      <c r="F98" s="908">
        <v>24</v>
      </c>
      <c r="G98" s="908">
        <f>E98*F98</f>
        <v>24</v>
      </c>
      <c r="H98" s="933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39"/>
      <c r="IN98" s="39"/>
      <c r="IO98" s="39"/>
      <c r="IP98" s="39"/>
      <c r="IQ98" s="39"/>
      <c r="IR98" s="39"/>
      <c r="IS98" s="39"/>
      <c r="IT98" s="39"/>
      <c r="IU98" s="39"/>
      <c r="IV98" s="39"/>
      <c r="IW98" s="39"/>
      <c r="IX98" s="39"/>
      <c r="IY98" s="39"/>
      <c r="IZ98" s="39"/>
      <c r="JA98" s="39"/>
      <c r="JB98" s="39"/>
      <c r="JC98" s="39"/>
      <c r="JD98" s="39"/>
      <c r="JE98" s="39"/>
      <c r="JF98" s="39"/>
      <c r="JG98" s="39"/>
      <c r="JH98" s="39"/>
      <c r="JI98" s="39"/>
      <c r="JJ98" s="39"/>
      <c r="JK98" s="39"/>
      <c r="JL98" s="39"/>
      <c r="JM98" s="39"/>
      <c r="JN98" s="39"/>
      <c r="JO98" s="39"/>
      <c r="JP98" s="39"/>
      <c r="JQ98" s="39"/>
      <c r="JR98" s="39"/>
      <c r="JS98" s="39"/>
      <c r="JT98" s="39"/>
      <c r="JU98" s="39"/>
      <c r="JV98" s="39"/>
      <c r="JW98" s="39"/>
      <c r="JX98" s="39"/>
      <c r="JY98" s="39"/>
      <c r="JZ98" s="39"/>
      <c r="KA98" s="39"/>
      <c r="KB98" s="39"/>
      <c r="KC98" s="39"/>
      <c r="KD98" s="39"/>
      <c r="KE98" s="39"/>
      <c r="KF98" s="39"/>
      <c r="KG98" s="39"/>
      <c r="KH98" s="39"/>
      <c r="KI98" s="39"/>
      <c r="KJ98" s="39"/>
      <c r="KK98" s="39"/>
      <c r="KL98" s="39"/>
      <c r="KM98" s="39"/>
      <c r="KN98" s="39"/>
      <c r="KO98" s="39"/>
      <c r="KP98" s="39"/>
      <c r="KQ98" s="39"/>
      <c r="KR98" s="39"/>
      <c r="KS98" s="39"/>
      <c r="KT98" s="39"/>
      <c r="KU98" s="39"/>
      <c r="KV98" s="39"/>
      <c r="KW98" s="39"/>
      <c r="KX98" s="39"/>
      <c r="KY98" s="39"/>
      <c r="KZ98" s="39"/>
      <c r="LA98" s="39"/>
      <c r="LB98" s="39"/>
      <c r="LC98" s="39"/>
      <c r="LD98" s="39"/>
      <c r="LE98" s="39"/>
      <c r="LF98" s="39"/>
      <c r="LG98" s="39"/>
      <c r="LH98" s="39"/>
      <c r="LI98" s="39"/>
      <c r="LJ98" s="39"/>
      <c r="LK98" s="39"/>
      <c r="LL98" s="39"/>
      <c r="LM98" s="39"/>
      <c r="LN98" s="39"/>
      <c r="LO98" s="39"/>
      <c r="LP98" s="39"/>
      <c r="LQ98" s="39"/>
      <c r="LR98" s="39"/>
      <c r="LS98" s="39"/>
      <c r="LT98" s="39"/>
      <c r="LU98" s="39"/>
      <c r="LV98" s="39"/>
      <c r="LW98" s="39"/>
      <c r="LX98" s="39"/>
      <c r="LY98" s="39"/>
      <c r="LZ98" s="39"/>
      <c r="MA98" s="39"/>
      <c r="MB98" s="39"/>
      <c r="MC98" s="39"/>
      <c r="MD98" s="39"/>
      <c r="ME98" s="39"/>
      <c r="MF98" s="39"/>
      <c r="MG98" s="39"/>
      <c r="MH98" s="39"/>
      <c r="MI98" s="39"/>
      <c r="MJ98" s="39"/>
      <c r="MK98" s="39"/>
      <c r="ML98" s="39"/>
      <c r="MM98" s="39"/>
      <c r="MN98" s="39"/>
      <c r="MO98" s="39"/>
      <c r="MP98" s="39"/>
      <c r="MQ98" s="39"/>
      <c r="MR98" s="39"/>
      <c r="MS98" s="39"/>
      <c r="MT98" s="39"/>
      <c r="MU98" s="39"/>
      <c r="MV98" s="39"/>
      <c r="MW98" s="39"/>
      <c r="MX98" s="39"/>
      <c r="MY98" s="39"/>
      <c r="MZ98" s="39"/>
      <c r="NA98" s="39"/>
      <c r="NB98" s="39"/>
      <c r="NC98" s="39"/>
      <c r="ND98" s="39"/>
      <c r="NE98" s="39"/>
      <c r="NF98" s="39"/>
      <c r="NG98" s="39"/>
      <c r="NH98" s="39"/>
      <c r="NI98" s="39"/>
      <c r="NJ98" s="39"/>
      <c r="NK98" s="39"/>
      <c r="NL98" s="39"/>
      <c r="NM98" s="39"/>
      <c r="NN98" s="39"/>
      <c r="NO98" s="39"/>
      <c r="NP98" s="39"/>
      <c r="NQ98" s="39"/>
      <c r="NR98" s="39"/>
      <c r="NS98" s="39"/>
      <c r="NT98" s="39"/>
      <c r="NU98" s="39"/>
      <c r="NV98" s="39"/>
      <c r="NW98" s="39"/>
      <c r="NX98" s="39"/>
      <c r="NY98" s="39"/>
      <c r="NZ98" s="39"/>
      <c r="OA98" s="39"/>
      <c r="OB98" s="39"/>
      <c r="OC98" s="39"/>
      <c r="OD98" s="39"/>
      <c r="OE98" s="39"/>
      <c r="OF98" s="39"/>
      <c r="OG98" s="39"/>
      <c r="OH98" s="39"/>
      <c r="OI98" s="39"/>
      <c r="OJ98" s="39"/>
      <c r="OK98" s="39"/>
      <c r="OL98" s="39"/>
      <c r="OM98" s="39"/>
      <c r="ON98" s="39"/>
      <c r="OO98" s="39"/>
      <c r="OP98" s="39"/>
      <c r="OQ98" s="39"/>
      <c r="OR98" s="39"/>
      <c r="OS98" s="39"/>
      <c r="OT98" s="39"/>
      <c r="OU98" s="39"/>
      <c r="OV98" s="39"/>
      <c r="OW98" s="39"/>
      <c r="OX98" s="39"/>
      <c r="OY98" s="39"/>
      <c r="OZ98" s="39"/>
      <c r="PA98" s="39"/>
      <c r="PB98" s="39"/>
      <c r="PC98" s="39"/>
      <c r="PD98" s="39"/>
      <c r="PE98" s="39"/>
      <c r="PF98" s="39"/>
      <c r="PG98" s="39"/>
      <c r="PH98" s="39"/>
      <c r="PI98" s="39"/>
      <c r="PJ98" s="39"/>
      <c r="PK98" s="39"/>
      <c r="PL98" s="39"/>
      <c r="PM98" s="39"/>
      <c r="PN98" s="39"/>
      <c r="PO98" s="39"/>
      <c r="PP98" s="39"/>
      <c r="PQ98" s="39"/>
      <c r="PR98" s="39"/>
      <c r="PS98" s="39"/>
      <c r="PT98" s="39"/>
      <c r="PU98" s="39"/>
      <c r="PV98" s="39"/>
      <c r="PW98" s="39"/>
      <c r="PX98" s="39"/>
      <c r="PY98" s="39"/>
      <c r="PZ98" s="39"/>
      <c r="QA98" s="39"/>
      <c r="QB98" s="39"/>
      <c r="QC98" s="39"/>
      <c r="QD98" s="39"/>
      <c r="QE98" s="39"/>
      <c r="QF98" s="39"/>
      <c r="QG98" s="39"/>
      <c r="QH98" s="39"/>
      <c r="QI98" s="39"/>
      <c r="QJ98" s="39"/>
      <c r="QK98" s="39"/>
      <c r="QL98" s="39"/>
      <c r="QM98" s="39"/>
      <c r="QN98" s="39"/>
      <c r="QO98" s="39"/>
      <c r="QP98" s="39"/>
      <c r="QQ98" s="39"/>
      <c r="QR98" s="39"/>
      <c r="QS98" s="39"/>
      <c r="QT98" s="39"/>
      <c r="QU98" s="39"/>
      <c r="QV98" s="39"/>
      <c r="QW98" s="39"/>
      <c r="QX98" s="39"/>
      <c r="QY98" s="39"/>
      <c r="QZ98" s="39"/>
      <c r="RA98" s="39"/>
      <c r="RB98" s="39"/>
      <c r="RC98" s="39"/>
      <c r="RD98" s="39"/>
      <c r="RE98" s="39"/>
      <c r="RF98" s="39"/>
      <c r="RG98" s="39"/>
      <c r="RH98" s="39"/>
      <c r="RI98" s="39"/>
      <c r="RJ98" s="39"/>
      <c r="RK98" s="39"/>
      <c r="RL98" s="39"/>
      <c r="RM98" s="39"/>
      <c r="RN98" s="39"/>
      <c r="RO98" s="39"/>
      <c r="RP98" s="39"/>
      <c r="RQ98" s="39"/>
      <c r="RR98" s="39"/>
      <c r="RS98" s="39"/>
      <c r="RT98" s="39"/>
      <c r="RU98" s="39"/>
      <c r="RV98" s="39"/>
      <c r="RW98" s="39"/>
      <c r="RX98" s="39"/>
      <c r="RY98" s="39"/>
      <c r="RZ98" s="39"/>
      <c r="SA98" s="39"/>
      <c r="SB98" s="39"/>
      <c r="SC98" s="39"/>
      <c r="SD98" s="39"/>
      <c r="SE98" s="39"/>
      <c r="SF98" s="39"/>
      <c r="SG98" s="39"/>
      <c r="SH98" s="39"/>
      <c r="SI98" s="39"/>
      <c r="SJ98" s="39"/>
      <c r="SK98" s="39"/>
      <c r="SL98" s="39"/>
      <c r="SM98" s="39"/>
      <c r="SN98" s="39"/>
      <c r="SO98" s="39"/>
      <c r="SP98" s="39"/>
      <c r="SQ98" s="39"/>
      <c r="SR98" s="39"/>
      <c r="SS98" s="39"/>
      <c r="ST98" s="39"/>
      <c r="SU98" s="39"/>
      <c r="SV98" s="39"/>
      <c r="SW98" s="39"/>
      <c r="SX98" s="39"/>
      <c r="SY98" s="39"/>
      <c r="SZ98" s="39"/>
      <c r="TA98" s="39"/>
      <c r="TB98" s="39"/>
      <c r="TC98" s="39"/>
      <c r="TD98" s="39"/>
      <c r="TE98" s="39"/>
      <c r="TF98" s="39"/>
      <c r="TG98" s="39"/>
      <c r="TH98" s="39"/>
      <c r="TI98" s="39"/>
      <c r="TJ98" s="39"/>
      <c r="TK98" s="39"/>
      <c r="TL98" s="39"/>
      <c r="TM98" s="39"/>
      <c r="TN98" s="39"/>
      <c r="TO98" s="39"/>
      <c r="TP98" s="39"/>
      <c r="TQ98" s="39"/>
      <c r="TR98" s="39"/>
      <c r="TS98" s="39"/>
      <c r="TT98" s="39"/>
      <c r="TU98" s="39"/>
      <c r="TV98" s="39"/>
      <c r="TW98" s="39"/>
      <c r="TX98" s="39"/>
      <c r="TY98" s="39"/>
      <c r="TZ98" s="39"/>
      <c r="UA98" s="39"/>
      <c r="UB98" s="39"/>
      <c r="UC98" s="39"/>
      <c r="UD98" s="39"/>
      <c r="UE98" s="39"/>
      <c r="UF98" s="39"/>
      <c r="UG98" s="39"/>
      <c r="UH98" s="39"/>
      <c r="UI98" s="39"/>
      <c r="UJ98" s="39"/>
      <c r="UK98" s="39"/>
      <c r="UL98" s="39"/>
      <c r="UM98" s="39"/>
      <c r="UN98" s="39"/>
      <c r="UO98" s="39"/>
      <c r="UP98" s="39"/>
      <c r="UQ98" s="39"/>
      <c r="UR98" s="39"/>
      <c r="US98" s="39"/>
      <c r="UT98" s="39"/>
      <c r="UU98" s="39"/>
      <c r="UV98" s="39"/>
      <c r="UW98" s="39"/>
      <c r="UX98" s="39"/>
      <c r="UY98" s="39"/>
      <c r="UZ98" s="39"/>
      <c r="VA98" s="39"/>
      <c r="VB98" s="39"/>
      <c r="VC98" s="39"/>
      <c r="VD98" s="39"/>
      <c r="VE98" s="39"/>
      <c r="VF98" s="39"/>
      <c r="VG98" s="39"/>
      <c r="VH98" s="39"/>
      <c r="VI98" s="39"/>
      <c r="VJ98" s="39"/>
      <c r="VK98" s="39"/>
      <c r="VL98" s="39"/>
      <c r="VM98" s="39"/>
      <c r="VN98" s="39"/>
      <c r="VO98" s="39"/>
      <c r="VP98" s="39"/>
      <c r="VQ98" s="39"/>
      <c r="VR98" s="39"/>
      <c r="VS98" s="39"/>
      <c r="VT98" s="39"/>
      <c r="VU98" s="39"/>
      <c r="VV98" s="39"/>
      <c r="VW98" s="39"/>
      <c r="VX98" s="39"/>
      <c r="VY98" s="39"/>
      <c r="VZ98" s="39"/>
      <c r="WA98" s="39"/>
      <c r="WB98" s="39"/>
      <c r="WC98" s="39"/>
      <c r="WD98" s="39"/>
      <c r="WE98" s="39"/>
      <c r="WF98" s="39"/>
      <c r="WG98" s="39"/>
      <c r="WH98" s="39"/>
      <c r="WI98" s="39"/>
      <c r="WJ98" s="39"/>
      <c r="WK98" s="39"/>
      <c r="WL98" s="39"/>
      <c r="WM98" s="39"/>
      <c r="WN98" s="39"/>
      <c r="WO98" s="39"/>
      <c r="WP98" s="39"/>
      <c r="WQ98" s="39"/>
      <c r="WR98" s="39"/>
      <c r="WS98" s="39"/>
      <c r="WT98" s="39"/>
      <c r="WU98" s="39"/>
      <c r="WV98" s="39"/>
      <c r="WW98" s="39"/>
      <c r="WX98" s="39"/>
      <c r="WY98" s="39"/>
      <c r="WZ98" s="39"/>
      <c r="XA98" s="39"/>
      <c r="XB98" s="39"/>
      <c r="XC98" s="39"/>
      <c r="XD98" s="39"/>
      <c r="XE98" s="39"/>
      <c r="XF98" s="39"/>
      <c r="XG98" s="39"/>
      <c r="XH98" s="39"/>
      <c r="XI98" s="39"/>
      <c r="XJ98" s="39"/>
      <c r="XK98" s="39"/>
      <c r="XL98" s="39"/>
      <c r="XM98" s="39"/>
      <c r="XN98" s="39"/>
      <c r="XO98" s="39"/>
      <c r="XP98" s="39"/>
      <c r="XQ98" s="39"/>
      <c r="XR98" s="39"/>
      <c r="XS98" s="39"/>
      <c r="XT98" s="39"/>
      <c r="XU98" s="39"/>
      <c r="XV98" s="39"/>
      <c r="XW98" s="39"/>
      <c r="XX98" s="39"/>
      <c r="XY98" s="39"/>
      <c r="XZ98" s="39"/>
      <c r="YA98" s="39"/>
      <c r="YB98" s="39"/>
      <c r="YC98" s="39"/>
      <c r="YD98" s="39"/>
      <c r="YE98" s="39"/>
      <c r="YF98" s="39"/>
      <c r="YG98" s="39"/>
      <c r="YH98" s="39"/>
      <c r="YI98" s="39"/>
      <c r="YJ98" s="39"/>
      <c r="YK98" s="39"/>
      <c r="YL98" s="39"/>
      <c r="YM98" s="39"/>
      <c r="YN98" s="39"/>
      <c r="YO98" s="39"/>
      <c r="YP98" s="39"/>
      <c r="YQ98" s="39"/>
      <c r="YR98" s="39"/>
      <c r="YS98" s="39"/>
      <c r="YT98" s="39"/>
      <c r="YU98" s="39"/>
      <c r="YV98" s="39"/>
      <c r="YW98" s="39"/>
      <c r="YX98" s="39"/>
      <c r="YY98" s="39"/>
      <c r="YZ98" s="39"/>
      <c r="ZA98" s="39"/>
      <c r="ZB98" s="39"/>
      <c r="ZC98" s="39"/>
      <c r="ZD98" s="39"/>
      <c r="ZE98" s="39"/>
      <c r="ZF98" s="39"/>
      <c r="ZG98" s="39"/>
      <c r="ZH98" s="39"/>
      <c r="ZI98" s="39"/>
      <c r="ZJ98" s="39"/>
      <c r="ZK98" s="39"/>
      <c r="ZL98" s="39"/>
      <c r="ZM98" s="39"/>
      <c r="ZN98" s="39"/>
      <c r="ZO98" s="39"/>
      <c r="ZP98" s="39"/>
      <c r="ZQ98" s="39"/>
      <c r="ZR98" s="39"/>
      <c r="ZS98" s="39"/>
      <c r="ZT98" s="39"/>
      <c r="ZU98" s="39"/>
      <c r="ZV98" s="39"/>
      <c r="ZW98" s="39"/>
      <c r="ZX98" s="39"/>
      <c r="ZY98" s="39"/>
      <c r="ZZ98" s="39"/>
      <c r="AAA98" s="39"/>
      <c r="AAB98" s="39"/>
      <c r="AAC98" s="39"/>
      <c r="AAD98" s="39"/>
      <c r="AAE98" s="39"/>
      <c r="AAF98" s="39"/>
      <c r="AAG98" s="39"/>
      <c r="AAH98" s="39"/>
      <c r="AAI98" s="39"/>
      <c r="AAJ98" s="39"/>
      <c r="AAK98" s="39"/>
      <c r="AAL98" s="39"/>
      <c r="AAM98" s="39"/>
      <c r="AAN98" s="39"/>
      <c r="AAO98" s="39"/>
      <c r="AAP98" s="39"/>
      <c r="AAQ98" s="39"/>
      <c r="AAR98" s="39"/>
      <c r="AAS98" s="39"/>
      <c r="AAT98" s="39"/>
      <c r="AAU98" s="39"/>
      <c r="AAV98" s="39"/>
      <c r="AAW98" s="39"/>
      <c r="AAX98" s="39"/>
      <c r="AAY98" s="39"/>
      <c r="AAZ98" s="39"/>
      <c r="ABA98" s="39"/>
      <c r="ABB98" s="39"/>
      <c r="ABC98" s="39"/>
      <c r="ABD98" s="39"/>
      <c r="ABE98" s="39"/>
      <c r="ABF98" s="39"/>
      <c r="ABG98" s="39"/>
      <c r="ABH98" s="39"/>
      <c r="ABI98" s="39"/>
      <c r="ABJ98" s="39"/>
      <c r="ABK98" s="39"/>
      <c r="ABL98" s="39"/>
      <c r="ABM98" s="39"/>
      <c r="ABN98" s="39"/>
      <c r="ABO98" s="39"/>
      <c r="ABP98" s="39"/>
      <c r="ABQ98" s="39"/>
      <c r="ABR98" s="39"/>
      <c r="ABS98" s="39"/>
      <c r="ABT98" s="39"/>
      <c r="ABU98" s="39"/>
      <c r="ABV98" s="39"/>
      <c r="ABW98" s="39"/>
      <c r="ABX98" s="39"/>
      <c r="ABY98" s="39"/>
      <c r="ABZ98" s="39"/>
      <c r="ACA98" s="39"/>
      <c r="ACB98" s="39"/>
      <c r="ACC98" s="39"/>
      <c r="ACD98" s="39"/>
      <c r="ACE98" s="39"/>
      <c r="ACF98" s="39"/>
      <c r="ACG98" s="39"/>
      <c r="ACH98" s="39"/>
      <c r="ACI98" s="39"/>
      <c r="ACJ98" s="39"/>
      <c r="ACK98" s="39"/>
      <c r="ACL98" s="39"/>
      <c r="ACM98" s="39"/>
      <c r="ACN98" s="39"/>
      <c r="ACO98" s="39"/>
      <c r="ACP98" s="39"/>
      <c r="ACQ98" s="39"/>
      <c r="ACR98" s="39"/>
      <c r="ACS98" s="39"/>
      <c r="ACT98" s="39"/>
      <c r="ACU98" s="39"/>
      <c r="ACV98" s="39"/>
      <c r="ACW98" s="39"/>
      <c r="ACX98" s="39"/>
      <c r="ACY98" s="39"/>
      <c r="ACZ98" s="39"/>
      <c r="ADA98" s="39"/>
      <c r="ADB98" s="39"/>
      <c r="ADC98" s="39"/>
      <c r="ADD98" s="39"/>
      <c r="ADE98" s="39"/>
      <c r="ADF98" s="39"/>
      <c r="ADG98" s="39"/>
      <c r="ADH98" s="39"/>
      <c r="ADI98" s="39"/>
      <c r="ADJ98" s="39"/>
      <c r="ADK98" s="39"/>
      <c r="ADL98" s="39"/>
      <c r="ADM98" s="39"/>
      <c r="ADN98" s="39"/>
      <c r="ADO98" s="39"/>
      <c r="ADP98" s="39"/>
      <c r="ADQ98" s="39"/>
      <c r="ADR98" s="39"/>
      <c r="ADS98" s="39"/>
      <c r="ADT98" s="39"/>
      <c r="ADU98" s="39"/>
      <c r="ADV98" s="39"/>
      <c r="ADW98" s="39"/>
      <c r="ADX98" s="39"/>
      <c r="ADY98" s="39"/>
      <c r="ADZ98" s="39"/>
      <c r="AEA98" s="39"/>
      <c r="AEB98" s="39"/>
      <c r="AEC98" s="39"/>
      <c r="AED98" s="39"/>
      <c r="AEE98" s="39"/>
      <c r="AEF98" s="39"/>
      <c r="AEG98" s="39"/>
      <c r="AEH98" s="39"/>
      <c r="AEI98" s="39"/>
      <c r="AEJ98" s="39"/>
      <c r="AEK98" s="39"/>
      <c r="AEL98" s="39"/>
      <c r="AEM98" s="39"/>
      <c r="AEN98" s="39"/>
      <c r="AEO98" s="39"/>
      <c r="AEP98" s="39"/>
      <c r="AEQ98" s="39"/>
      <c r="AER98" s="39"/>
      <c r="AES98" s="39"/>
      <c r="AET98" s="39"/>
      <c r="AEU98" s="39"/>
      <c r="AEV98" s="39"/>
      <c r="AEW98" s="39"/>
      <c r="AEX98" s="39"/>
      <c r="AEY98" s="39"/>
      <c r="AEZ98" s="39"/>
      <c r="AFA98" s="39"/>
      <c r="AFB98" s="39"/>
      <c r="AFC98" s="39"/>
      <c r="AFD98" s="39"/>
      <c r="AFE98" s="39"/>
      <c r="AFF98" s="39"/>
      <c r="AFG98" s="39"/>
      <c r="AFH98" s="39"/>
      <c r="AFI98" s="39"/>
      <c r="AFJ98" s="39"/>
      <c r="AFK98" s="39"/>
      <c r="AFL98" s="39"/>
      <c r="AFM98" s="39"/>
      <c r="AFN98" s="39"/>
      <c r="AFO98" s="39"/>
      <c r="AFP98" s="39"/>
      <c r="AFQ98" s="39"/>
      <c r="AFR98" s="39"/>
      <c r="AFS98" s="39"/>
      <c r="AFT98" s="39"/>
      <c r="AFU98" s="39"/>
      <c r="AFV98" s="39"/>
      <c r="AFW98" s="39"/>
      <c r="AFX98" s="39"/>
      <c r="AFY98" s="39"/>
      <c r="AFZ98" s="39"/>
      <c r="AGA98" s="39"/>
      <c r="AGB98" s="39"/>
      <c r="AGC98" s="39"/>
      <c r="AGD98" s="39"/>
      <c r="AGE98" s="39"/>
      <c r="AGF98" s="39"/>
      <c r="AGG98" s="39"/>
      <c r="AGH98" s="39"/>
      <c r="AGI98" s="39"/>
      <c r="AGJ98" s="39"/>
      <c r="AGK98" s="39"/>
      <c r="AGL98" s="39"/>
      <c r="AGM98" s="39"/>
      <c r="AGN98" s="39"/>
      <c r="AGO98" s="39"/>
      <c r="AGP98" s="39"/>
      <c r="AGQ98" s="39"/>
      <c r="AGR98" s="39"/>
      <c r="AGS98" s="39"/>
      <c r="AGT98" s="39"/>
      <c r="AGU98" s="39"/>
      <c r="AGV98" s="39"/>
      <c r="AGW98" s="39"/>
      <c r="AGX98" s="39"/>
      <c r="AGY98" s="39"/>
      <c r="AGZ98" s="39"/>
      <c r="AHA98" s="39"/>
      <c r="AHB98" s="39"/>
      <c r="AHC98" s="39"/>
      <c r="AHD98" s="39"/>
      <c r="AHE98" s="39"/>
      <c r="AHF98" s="39"/>
      <c r="AHG98" s="39"/>
      <c r="AHH98" s="39"/>
      <c r="AHI98" s="39"/>
      <c r="AHJ98" s="39"/>
      <c r="AHK98" s="39"/>
      <c r="AHL98" s="39"/>
      <c r="AHM98" s="39"/>
      <c r="AHN98" s="39"/>
      <c r="AHO98" s="39"/>
      <c r="AHP98" s="39"/>
      <c r="AHQ98" s="39"/>
      <c r="AHR98" s="39"/>
      <c r="AHS98" s="39"/>
      <c r="AHT98" s="39"/>
      <c r="AHU98" s="39"/>
      <c r="AHV98" s="39"/>
      <c r="AHW98" s="39"/>
      <c r="AHX98" s="39"/>
      <c r="AHY98" s="39"/>
      <c r="AHZ98" s="39"/>
      <c r="AIA98" s="39"/>
      <c r="AIB98" s="39"/>
      <c r="AIC98" s="39"/>
      <c r="AID98" s="39"/>
      <c r="AIE98" s="39"/>
      <c r="AIF98" s="39"/>
      <c r="AIG98" s="39"/>
      <c r="AIH98" s="39"/>
      <c r="AII98" s="39"/>
      <c r="AIJ98" s="39"/>
      <c r="AIK98" s="39"/>
      <c r="AIL98" s="39"/>
      <c r="AIM98" s="39"/>
      <c r="AIN98" s="39"/>
      <c r="AIO98" s="39"/>
      <c r="AIP98" s="39"/>
      <c r="AIQ98" s="39"/>
      <c r="AIR98" s="39"/>
      <c r="AIS98" s="39"/>
      <c r="AIT98" s="39"/>
      <c r="AIU98" s="39"/>
      <c r="AIV98" s="39"/>
      <c r="AIW98" s="39"/>
      <c r="AIX98" s="39"/>
      <c r="AIY98" s="39"/>
      <c r="AIZ98" s="39"/>
      <c r="AJA98" s="39"/>
      <c r="AJB98" s="39"/>
      <c r="AJC98" s="39"/>
      <c r="AJD98" s="39"/>
      <c r="AJE98" s="39"/>
      <c r="AJF98" s="39"/>
      <c r="AJG98" s="39"/>
      <c r="AJH98" s="39"/>
      <c r="AJI98" s="39"/>
      <c r="AJJ98" s="39"/>
      <c r="AJK98" s="39"/>
      <c r="AJL98" s="39"/>
      <c r="AJM98" s="39"/>
      <c r="AJN98" s="39"/>
      <c r="AJO98" s="39"/>
      <c r="AJP98" s="39"/>
      <c r="AJQ98" s="39"/>
      <c r="AJR98" s="39"/>
      <c r="AJS98" s="39"/>
      <c r="AJT98" s="39"/>
      <c r="AJU98" s="39"/>
      <c r="AJV98" s="39"/>
      <c r="AJW98" s="39"/>
      <c r="AJX98" s="39"/>
      <c r="AJY98" s="39"/>
      <c r="AJZ98" s="39"/>
      <c r="AKA98" s="39"/>
      <c r="AKB98" s="39"/>
      <c r="AKC98" s="39"/>
      <c r="AKD98" s="39"/>
      <c r="AKE98" s="39"/>
      <c r="AKF98" s="39"/>
      <c r="AKG98" s="39"/>
      <c r="AKH98" s="39"/>
      <c r="AKI98" s="39"/>
      <c r="AKJ98" s="39"/>
      <c r="AKK98" s="39"/>
      <c r="AKL98" s="39"/>
      <c r="AKM98" s="39"/>
      <c r="AKN98" s="39"/>
      <c r="AKO98" s="39"/>
      <c r="AKP98" s="39"/>
      <c r="AKQ98" s="39"/>
      <c r="AKR98" s="39"/>
      <c r="AKS98" s="39"/>
      <c r="AKT98" s="39"/>
      <c r="AKU98" s="39"/>
      <c r="AKV98" s="39"/>
      <c r="AKW98" s="39"/>
      <c r="AKX98" s="39"/>
      <c r="AKY98" s="39"/>
      <c r="AKZ98" s="39"/>
      <c r="ALA98" s="39"/>
      <c r="ALB98" s="39"/>
      <c r="ALC98" s="39"/>
      <c r="ALD98" s="39"/>
      <c r="ALE98" s="39"/>
      <c r="ALF98" s="39"/>
      <c r="ALG98" s="39"/>
      <c r="ALH98" s="39"/>
      <c r="ALI98" s="39"/>
      <c r="ALJ98" s="39"/>
      <c r="ALK98" s="39"/>
      <c r="ALL98" s="39"/>
      <c r="ALM98" s="39"/>
      <c r="ALN98" s="39"/>
      <c r="ALO98" s="39"/>
      <c r="ALP98" s="39"/>
    </row>
    <row r="99" spans="1:1004" s="102" customFormat="1" ht="13.5">
      <c r="A99" s="903"/>
      <c r="B99" s="904"/>
      <c r="C99" s="930" t="s">
        <v>318</v>
      </c>
      <c r="D99" s="906"/>
      <c r="E99" s="908">
        <v>1</v>
      </c>
      <c r="F99" s="908">
        <v>10</v>
      </c>
      <c r="G99" s="908">
        <f>E99*F99</f>
        <v>10</v>
      </c>
      <c r="H99" s="933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39"/>
      <c r="IV99" s="39"/>
      <c r="IW99" s="39"/>
      <c r="IX99" s="39"/>
      <c r="IY99" s="39"/>
      <c r="IZ99" s="39"/>
      <c r="JA99" s="39"/>
      <c r="JB99" s="39"/>
      <c r="JC99" s="39"/>
      <c r="JD99" s="39"/>
      <c r="JE99" s="39"/>
      <c r="JF99" s="39"/>
      <c r="JG99" s="39"/>
      <c r="JH99" s="39"/>
      <c r="JI99" s="39"/>
      <c r="JJ99" s="39"/>
      <c r="JK99" s="39"/>
      <c r="JL99" s="39"/>
      <c r="JM99" s="39"/>
      <c r="JN99" s="39"/>
      <c r="JO99" s="39"/>
      <c r="JP99" s="39"/>
      <c r="JQ99" s="39"/>
      <c r="JR99" s="39"/>
      <c r="JS99" s="39"/>
      <c r="JT99" s="39"/>
      <c r="JU99" s="39"/>
      <c r="JV99" s="39"/>
      <c r="JW99" s="39"/>
      <c r="JX99" s="39"/>
      <c r="JY99" s="39"/>
      <c r="JZ99" s="39"/>
      <c r="KA99" s="39"/>
      <c r="KB99" s="39"/>
      <c r="KC99" s="39"/>
      <c r="KD99" s="39"/>
      <c r="KE99" s="39"/>
      <c r="KF99" s="39"/>
      <c r="KG99" s="39"/>
      <c r="KH99" s="39"/>
      <c r="KI99" s="39"/>
      <c r="KJ99" s="39"/>
      <c r="KK99" s="39"/>
      <c r="KL99" s="39"/>
      <c r="KM99" s="39"/>
      <c r="KN99" s="39"/>
      <c r="KO99" s="39"/>
      <c r="KP99" s="39"/>
      <c r="KQ99" s="39"/>
      <c r="KR99" s="39"/>
      <c r="KS99" s="39"/>
      <c r="KT99" s="39"/>
      <c r="KU99" s="39"/>
      <c r="KV99" s="39"/>
      <c r="KW99" s="39"/>
      <c r="KX99" s="39"/>
      <c r="KY99" s="39"/>
      <c r="KZ99" s="39"/>
      <c r="LA99" s="39"/>
      <c r="LB99" s="39"/>
      <c r="LC99" s="39"/>
      <c r="LD99" s="39"/>
      <c r="LE99" s="39"/>
      <c r="LF99" s="39"/>
      <c r="LG99" s="39"/>
      <c r="LH99" s="39"/>
      <c r="LI99" s="39"/>
      <c r="LJ99" s="39"/>
      <c r="LK99" s="39"/>
      <c r="LL99" s="39"/>
      <c r="LM99" s="39"/>
      <c r="LN99" s="39"/>
      <c r="LO99" s="39"/>
      <c r="LP99" s="39"/>
      <c r="LQ99" s="39"/>
      <c r="LR99" s="39"/>
      <c r="LS99" s="39"/>
      <c r="LT99" s="39"/>
      <c r="LU99" s="39"/>
      <c r="LV99" s="39"/>
      <c r="LW99" s="39"/>
      <c r="LX99" s="39"/>
      <c r="LY99" s="39"/>
      <c r="LZ99" s="39"/>
      <c r="MA99" s="39"/>
      <c r="MB99" s="39"/>
      <c r="MC99" s="39"/>
      <c r="MD99" s="39"/>
      <c r="ME99" s="39"/>
      <c r="MF99" s="39"/>
      <c r="MG99" s="39"/>
      <c r="MH99" s="39"/>
      <c r="MI99" s="39"/>
      <c r="MJ99" s="39"/>
      <c r="MK99" s="39"/>
      <c r="ML99" s="39"/>
      <c r="MM99" s="39"/>
      <c r="MN99" s="39"/>
      <c r="MO99" s="39"/>
      <c r="MP99" s="39"/>
      <c r="MQ99" s="39"/>
      <c r="MR99" s="39"/>
      <c r="MS99" s="39"/>
      <c r="MT99" s="39"/>
      <c r="MU99" s="39"/>
      <c r="MV99" s="39"/>
      <c r="MW99" s="39"/>
      <c r="MX99" s="39"/>
      <c r="MY99" s="39"/>
      <c r="MZ99" s="39"/>
      <c r="NA99" s="39"/>
      <c r="NB99" s="39"/>
      <c r="NC99" s="39"/>
      <c r="ND99" s="39"/>
      <c r="NE99" s="39"/>
      <c r="NF99" s="39"/>
      <c r="NG99" s="39"/>
      <c r="NH99" s="39"/>
      <c r="NI99" s="39"/>
      <c r="NJ99" s="39"/>
      <c r="NK99" s="39"/>
      <c r="NL99" s="39"/>
      <c r="NM99" s="39"/>
      <c r="NN99" s="39"/>
      <c r="NO99" s="39"/>
      <c r="NP99" s="39"/>
      <c r="NQ99" s="39"/>
      <c r="NR99" s="39"/>
      <c r="NS99" s="39"/>
      <c r="NT99" s="39"/>
      <c r="NU99" s="39"/>
      <c r="NV99" s="39"/>
      <c r="NW99" s="39"/>
      <c r="NX99" s="39"/>
      <c r="NY99" s="39"/>
      <c r="NZ99" s="39"/>
      <c r="OA99" s="39"/>
      <c r="OB99" s="39"/>
      <c r="OC99" s="39"/>
      <c r="OD99" s="39"/>
      <c r="OE99" s="39"/>
      <c r="OF99" s="39"/>
      <c r="OG99" s="39"/>
      <c r="OH99" s="39"/>
      <c r="OI99" s="39"/>
      <c r="OJ99" s="39"/>
      <c r="OK99" s="39"/>
      <c r="OL99" s="39"/>
      <c r="OM99" s="39"/>
      <c r="ON99" s="39"/>
      <c r="OO99" s="39"/>
      <c r="OP99" s="39"/>
      <c r="OQ99" s="39"/>
      <c r="OR99" s="39"/>
      <c r="OS99" s="39"/>
      <c r="OT99" s="39"/>
      <c r="OU99" s="39"/>
      <c r="OV99" s="39"/>
      <c r="OW99" s="39"/>
      <c r="OX99" s="39"/>
      <c r="OY99" s="39"/>
      <c r="OZ99" s="39"/>
      <c r="PA99" s="39"/>
      <c r="PB99" s="39"/>
      <c r="PC99" s="39"/>
      <c r="PD99" s="39"/>
      <c r="PE99" s="39"/>
      <c r="PF99" s="39"/>
      <c r="PG99" s="39"/>
      <c r="PH99" s="39"/>
      <c r="PI99" s="39"/>
      <c r="PJ99" s="39"/>
      <c r="PK99" s="39"/>
      <c r="PL99" s="39"/>
      <c r="PM99" s="39"/>
      <c r="PN99" s="39"/>
      <c r="PO99" s="39"/>
      <c r="PP99" s="39"/>
      <c r="PQ99" s="39"/>
      <c r="PR99" s="39"/>
      <c r="PS99" s="39"/>
      <c r="PT99" s="39"/>
      <c r="PU99" s="39"/>
      <c r="PV99" s="39"/>
      <c r="PW99" s="39"/>
      <c r="PX99" s="39"/>
      <c r="PY99" s="39"/>
      <c r="PZ99" s="39"/>
      <c r="QA99" s="39"/>
      <c r="QB99" s="39"/>
      <c r="QC99" s="39"/>
      <c r="QD99" s="39"/>
      <c r="QE99" s="39"/>
      <c r="QF99" s="39"/>
      <c r="QG99" s="39"/>
      <c r="QH99" s="39"/>
      <c r="QI99" s="39"/>
      <c r="QJ99" s="39"/>
      <c r="QK99" s="39"/>
      <c r="QL99" s="39"/>
      <c r="QM99" s="39"/>
      <c r="QN99" s="39"/>
      <c r="QO99" s="39"/>
      <c r="QP99" s="39"/>
      <c r="QQ99" s="39"/>
      <c r="QR99" s="39"/>
      <c r="QS99" s="39"/>
      <c r="QT99" s="39"/>
      <c r="QU99" s="39"/>
      <c r="QV99" s="39"/>
      <c r="QW99" s="39"/>
      <c r="QX99" s="39"/>
      <c r="QY99" s="39"/>
      <c r="QZ99" s="39"/>
      <c r="RA99" s="39"/>
      <c r="RB99" s="39"/>
      <c r="RC99" s="39"/>
      <c r="RD99" s="39"/>
      <c r="RE99" s="39"/>
      <c r="RF99" s="39"/>
      <c r="RG99" s="39"/>
      <c r="RH99" s="39"/>
      <c r="RI99" s="39"/>
      <c r="RJ99" s="39"/>
      <c r="RK99" s="39"/>
      <c r="RL99" s="39"/>
      <c r="RM99" s="39"/>
      <c r="RN99" s="39"/>
      <c r="RO99" s="39"/>
      <c r="RP99" s="39"/>
      <c r="RQ99" s="39"/>
      <c r="RR99" s="39"/>
      <c r="RS99" s="39"/>
      <c r="RT99" s="39"/>
      <c r="RU99" s="39"/>
      <c r="RV99" s="39"/>
      <c r="RW99" s="39"/>
      <c r="RX99" s="39"/>
      <c r="RY99" s="39"/>
      <c r="RZ99" s="39"/>
      <c r="SA99" s="39"/>
      <c r="SB99" s="39"/>
      <c r="SC99" s="39"/>
      <c r="SD99" s="39"/>
      <c r="SE99" s="39"/>
      <c r="SF99" s="39"/>
      <c r="SG99" s="39"/>
      <c r="SH99" s="39"/>
      <c r="SI99" s="39"/>
      <c r="SJ99" s="39"/>
      <c r="SK99" s="39"/>
      <c r="SL99" s="39"/>
      <c r="SM99" s="39"/>
      <c r="SN99" s="39"/>
      <c r="SO99" s="39"/>
      <c r="SP99" s="39"/>
      <c r="SQ99" s="39"/>
      <c r="SR99" s="39"/>
      <c r="SS99" s="39"/>
      <c r="ST99" s="39"/>
      <c r="SU99" s="39"/>
      <c r="SV99" s="39"/>
      <c r="SW99" s="39"/>
      <c r="SX99" s="39"/>
      <c r="SY99" s="39"/>
      <c r="SZ99" s="39"/>
      <c r="TA99" s="39"/>
      <c r="TB99" s="39"/>
      <c r="TC99" s="39"/>
      <c r="TD99" s="39"/>
      <c r="TE99" s="39"/>
      <c r="TF99" s="39"/>
      <c r="TG99" s="39"/>
      <c r="TH99" s="39"/>
      <c r="TI99" s="39"/>
      <c r="TJ99" s="39"/>
      <c r="TK99" s="39"/>
      <c r="TL99" s="39"/>
      <c r="TM99" s="39"/>
      <c r="TN99" s="39"/>
      <c r="TO99" s="39"/>
      <c r="TP99" s="39"/>
      <c r="TQ99" s="39"/>
      <c r="TR99" s="39"/>
      <c r="TS99" s="39"/>
      <c r="TT99" s="39"/>
      <c r="TU99" s="39"/>
      <c r="TV99" s="39"/>
      <c r="TW99" s="39"/>
      <c r="TX99" s="39"/>
      <c r="TY99" s="39"/>
      <c r="TZ99" s="39"/>
      <c r="UA99" s="39"/>
      <c r="UB99" s="39"/>
      <c r="UC99" s="39"/>
      <c r="UD99" s="39"/>
      <c r="UE99" s="39"/>
      <c r="UF99" s="39"/>
      <c r="UG99" s="39"/>
      <c r="UH99" s="39"/>
      <c r="UI99" s="39"/>
      <c r="UJ99" s="39"/>
      <c r="UK99" s="39"/>
      <c r="UL99" s="39"/>
      <c r="UM99" s="39"/>
      <c r="UN99" s="39"/>
      <c r="UO99" s="39"/>
      <c r="UP99" s="39"/>
      <c r="UQ99" s="39"/>
      <c r="UR99" s="39"/>
      <c r="US99" s="39"/>
      <c r="UT99" s="39"/>
      <c r="UU99" s="39"/>
      <c r="UV99" s="39"/>
      <c r="UW99" s="39"/>
      <c r="UX99" s="39"/>
      <c r="UY99" s="39"/>
      <c r="UZ99" s="39"/>
      <c r="VA99" s="39"/>
      <c r="VB99" s="39"/>
      <c r="VC99" s="39"/>
      <c r="VD99" s="39"/>
      <c r="VE99" s="39"/>
      <c r="VF99" s="39"/>
      <c r="VG99" s="39"/>
      <c r="VH99" s="39"/>
      <c r="VI99" s="39"/>
      <c r="VJ99" s="39"/>
      <c r="VK99" s="39"/>
      <c r="VL99" s="39"/>
      <c r="VM99" s="39"/>
      <c r="VN99" s="39"/>
      <c r="VO99" s="39"/>
      <c r="VP99" s="39"/>
      <c r="VQ99" s="39"/>
      <c r="VR99" s="39"/>
      <c r="VS99" s="39"/>
      <c r="VT99" s="39"/>
      <c r="VU99" s="39"/>
      <c r="VV99" s="39"/>
      <c r="VW99" s="39"/>
      <c r="VX99" s="39"/>
      <c r="VY99" s="39"/>
      <c r="VZ99" s="39"/>
      <c r="WA99" s="39"/>
      <c r="WB99" s="39"/>
      <c r="WC99" s="39"/>
      <c r="WD99" s="39"/>
      <c r="WE99" s="39"/>
      <c r="WF99" s="39"/>
      <c r="WG99" s="39"/>
      <c r="WH99" s="39"/>
      <c r="WI99" s="39"/>
      <c r="WJ99" s="39"/>
      <c r="WK99" s="39"/>
      <c r="WL99" s="39"/>
      <c r="WM99" s="39"/>
      <c r="WN99" s="39"/>
      <c r="WO99" s="39"/>
      <c r="WP99" s="39"/>
      <c r="WQ99" s="39"/>
      <c r="WR99" s="39"/>
      <c r="WS99" s="39"/>
      <c r="WT99" s="39"/>
      <c r="WU99" s="39"/>
      <c r="WV99" s="39"/>
      <c r="WW99" s="39"/>
      <c r="WX99" s="39"/>
      <c r="WY99" s="39"/>
      <c r="WZ99" s="39"/>
      <c r="XA99" s="39"/>
      <c r="XB99" s="39"/>
      <c r="XC99" s="39"/>
      <c r="XD99" s="39"/>
      <c r="XE99" s="39"/>
      <c r="XF99" s="39"/>
      <c r="XG99" s="39"/>
      <c r="XH99" s="39"/>
      <c r="XI99" s="39"/>
      <c r="XJ99" s="39"/>
      <c r="XK99" s="39"/>
      <c r="XL99" s="39"/>
      <c r="XM99" s="39"/>
      <c r="XN99" s="39"/>
      <c r="XO99" s="39"/>
      <c r="XP99" s="39"/>
      <c r="XQ99" s="39"/>
      <c r="XR99" s="39"/>
      <c r="XS99" s="39"/>
      <c r="XT99" s="39"/>
      <c r="XU99" s="39"/>
      <c r="XV99" s="39"/>
      <c r="XW99" s="39"/>
      <c r="XX99" s="39"/>
      <c r="XY99" s="39"/>
      <c r="XZ99" s="39"/>
      <c r="YA99" s="39"/>
      <c r="YB99" s="39"/>
      <c r="YC99" s="39"/>
      <c r="YD99" s="39"/>
      <c r="YE99" s="39"/>
      <c r="YF99" s="39"/>
      <c r="YG99" s="39"/>
      <c r="YH99" s="39"/>
      <c r="YI99" s="39"/>
      <c r="YJ99" s="39"/>
      <c r="YK99" s="39"/>
      <c r="YL99" s="39"/>
      <c r="YM99" s="39"/>
      <c r="YN99" s="39"/>
      <c r="YO99" s="39"/>
      <c r="YP99" s="39"/>
      <c r="YQ99" s="39"/>
      <c r="YR99" s="39"/>
      <c r="YS99" s="39"/>
      <c r="YT99" s="39"/>
      <c r="YU99" s="39"/>
      <c r="YV99" s="39"/>
      <c r="YW99" s="39"/>
      <c r="YX99" s="39"/>
      <c r="YY99" s="39"/>
      <c r="YZ99" s="39"/>
      <c r="ZA99" s="39"/>
      <c r="ZB99" s="39"/>
      <c r="ZC99" s="39"/>
      <c r="ZD99" s="39"/>
      <c r="ZE99" s="39"/>
      <c r="ZF99" s="39"/>
      <c r="ZG99" s="39"/>
      <c r="ZH99" s="39"/>
      <c r="ZI99" s="39"/>
      <c r="ZJ99" s="39"/>
      <c r="ZK99" s="39"/>
      <c r="ZL99" s="39"/>
      <c r="ZM99" s="39"/>
      <c r="ZN99" s="39"/>
      <c r="ZO99" s="39"/>
      <c r="ZP99" s="39"/>
      <c r="ZQ99" s="39"/>
      <c r="ZR99" s="39"/>
      <c r="ZS99" s="39"/>
      <c r="ZT99" s="39"/>
      <c r="ZU99" s="39"/>
      <c r="ZV99" s="39"/>
      <c r="ZW99" s="39"/>
      <c r="ZX99" s="39"/>
      <c r="ZY99" s="39"/>
      <c r="ZZ99" s="39"/>
      <c r="AAA99" s="39"/>
      <c r="AAB99" s="39"/>
      <c r="AAC99" s="39"/>
      <c r="AAD99" s="39"/>
      <c r="AAE99" s="39"/>
      <c r="AAF99" s="39"/>
      <c r="AAG99" s="39"/>
      <c r="AAH99" s="39"/>
      <c r="AAI99" s="39"/>
      <c r="AAJ99" s="39"/>
      <c r="AAK99" s="39"/>
      <c r="AAL99" s="39"/>
      <c r="AAM99" s="39"/>
      <c r="AAN99" s="39"/>
      <c r="AAO99" s="39"/>
      <c r="AAP99" s="39"/>
      <c r="AAQ99" s="39"/>
      <c r="AAR99" s="39"/>
      <c r="AAS99" s="39"/>
      <c r="AAT99" s="39"/>
      <c r="AAU99" s="39"/>
      <c r="AAV99" s="39"/>
      <c r="AAW99" s="39"/>
      <c r="AAX99" s="39"/>
      <c r="AAY99" s="39"/>
      <c r="AAZ99" s="39"/>
      <c r="ABA99" s="39"/>
      <c r="ABB99" s="39"/>
      <c r="ABC99" s="39"/>
      <c r="ABD99" s="39"/>
      <c r="ABE99" s="39"/>
      <c r="ABF99" s="39"/>
      <c r="ABG99" s="39"/>
      <c r="ABH99" s="39"/>
      <c r="ABI99" s="39"/>
      <c r="ABJ99" s="39"/>
      <c r="ABK99" s="39"/>
      <c r="ABL99" s="39"/>
      <c r="ABM99" s="39"/>
      <c r="ABN99" s="39"/>
      <c r="ABO99" s="39"/>
      <c r="ABP99" s="39"/>
      <c r="ABQ99" s="39"/>
      <c r="ABR99" s="39"/>
      <c r="ABS99" s="39"/>
      <c r="ABT99" s="39"/>
      <c r="ABU99" s="39"/>
      <c r="ABV99" s="39"/>
      <c r="ABW99" s="39"/>
      <c r="ABX99" s="39"/>
      <c r="ABY99" s="39"/>
      <c r="ABZ99" s="39"/>
      <c r="ACA99" s="39"/>
      <c r="ACB99" s="39"/>
      <c r="ACC99" s="39"/>
      <c r="ACD99" s="39"/>
      <c r="ACE99" s="39"/>
      <c r="ACF99" s="39"/>
      <c r="ACG99" s="39"/>
      <c r="ACH99" s="39"/>
      <c r="ACI99" s="39"/>
      <c r="ACJ99" s="39"/>
      <c r="ACK99" s="39"/>
      <c r="ACL99" s="39"/>
      <c r="ACM99" s="39"/>
      <c r="ACN99" s="39"/>
      <c r="ACO99" s="39"/>
      <c r="ACP99" s="39"/>
      <c r="ACQ99" s="39"/>
      <c r="ACR99" s="39"/>
      <c r="ACS99" s="39"/>
      <c r="ACT99" s="39"/>
      <c r="ACU99" s="39"/>
      <c r="ACV99" s="39"/>
      <c r="ACW99" s="39"/>
      <c r="ACX99" s="39"/>
      <c r="ACY99" s="39"/>
      <c r="ACZ99" s="39"/>
      <c r="ADA99" s="39"/>
      <c r="ADB99" s="39"/>
      <c r="ADC99" s="39"/>
      <c r="ADD99" s="39"/>
      <c r="ADE99" s="39"/>
      <c r="ADF99" s="39"/>
      <c r="ADG99" s="39"/>
      <c r="ADH99" s="39"/>
      <c r="ADI99" s="39"/>
      <c r="ADJ99" s="39"/>
      <c r="ADK99" s="39"/>
      <c r="ADL99" s="39"/>
      <c r="ADM99" s="39"/>
      <c r="ADN99" s="39"/>
      <c r="ADO99" s="39"/>
      <c r="ADP99" s="39"/>
      <c r="ADQ99" s="39"/>
      <c r="ADR99" s="39"/>
      <c r="ADS99" s="39"/>
      <c r="ADT99" s="39"/>
      <c r="ADU99" s="39"/>
      <c r="ADV99" s="39"/>
      <c r="ADW99" s="39"/>
      <c r="ADX99" s="39"/>
      <c r="ADY99" s="39"/>
      <c r="ADZ99" s="39"/>
      <c r="AEA99" s="39"/>
      <c r="AEB99" s="39"/>
      <c r="AEC99" s="39"/>
      <c r="AED99" s="39"/>
      <c r="AEE99" s="39"/>
      <c r="AEF99" s="39"/>
      <c r="AEG99" s="39"/>
      <c r="AEH99" s="39"/>
      <c r="AEI99" s="39"/>
      <c r="AEJ99" s="39"/>
      <c r="AEK99" s="39"/>
      <c r="AEL99" s="39"/>
      <c r="AEM99" s="39"/>
      <c r="AEN99" s="39"/>
      <c r="AEO99" s="39"/>
      <c r="AEP99" s="39"/>
      <c r="AEQ99" s="39"/>
      <c r="AER99" s="39"/>
      <c r="AES99" s="39"/>
      <c r="AET99" s="39"/>
      <c r="AEU99" s="39"/>
      <c r="AEV99" s="39"/>
      <c r="AEW99" s="39"/>
      <c r="AEX99" s="39"/>
      <c r="AEY99" s="39"/>
      <c r="AEZ99" s="39"/>
      <c r="AFA99" s="39"/>
      <c r="AFB99" s="39"/>
      <c r="AFC99" s="39"/>
      <c r="AFD99" s="39"/>
      <c r="AFE99" s="39"/>
      <c r="AFF99" s="39"/>
      <c r="AFG99" s="39"/>
      <c r="AFH99" s="39"/>
      <c r="AFI99" s="39"/>
      <c r="AFJ99" s="39"/>
      <c r="AFK99" s="39"/>
      <c r="AFL99" s="39"/>
      <c r="AFM99" s="39"/>
      <c r="AFN99" s="39"/>
      <c r="AFO99" s="39"/>
      <c r="AFP99" s="39"/>
      <c r="AFQ99" s="39"/>
      <c r="AFR99" s="39"/>
      <c r="AFS99" s="39"/>
      <c r="AFT99" s="39"/>
      <c r="AFU99" s="39"/>
      <c r="AFV99" s="39"/>
      <c r="AFW99" s="39"/>
      <c r="AFX99" s="39"/>
      <c r="AFY99" s="39"/>
      <c r="AFZ99" s="39"/>
      <c r="AGA99" s="39"/>
      <c r="AGB99" s="39"/>
      <c r="AGC99" s="39"/>
      <c r="AGD99" s="39"/>
      <c r="AGE99" s="39"/>
      <c r="AGF99" s="39"/>
      <c r="AGG99" s="39"/>
      <c r="AGH99" s="39"/>
      <c r="AGI99" s="39"/>
      <c r="AGJ99" s="39"/>
      <c r="AGK99" s="39"/>
      <c r="AGL99" s="39"/>
      <c r="AGM99" s="39"/>
      <c r="AGN99" s="39"/>
      <c r="AGO99" s="39"/>
      <c r="AGP99" s="39"/>
      <c r="AGQ99" s="39"/>
      <c r="AGR99" s="39"/>
      <c r="AGS99" s="39"/>
      <c r="AGT99" s="39"/>
      <c r="AGU99" s="39"/>
      <c r="AGV99" s="39"/>
      <c r="AGW99" s="39"/>
      <c r="AGX99" s="39"/>
      <c r="AGY99" s="39"/>
      <c r="AGZ99" s="39"/>
      <c r="AHA99" s="39"/>
      <c r="AHB99" s="39"/>
      <c r="AHC99" s="39"/>
      <c r="AHD99" s="39"/>
      <c r="AHE99" s="39"/>
      <c r="AHF99" s="39"/>
      <c r="AHG99" s="39"/>
      <c r="AHH99" s="39"/>
      <c r="AHI99" s="39"/>
      <c r="AHJ99" s="39"/>
      <c r="AHK99" s="39"/>
      <c r="AHL99" s="39"/>
      <c r="AHM99" s="39"/>
      <c r="AHN99" s="39"/>
      <c r="AHO99" s="39"/>
      <c r="AHP99" s="39"/>
      <c r="AHQ99" s="39"/>
      <c r="AHR99" s="39"/>
      <c r="AHS99" s="39"/>
      <c r="AHT99" s="39"/>
      <c r="AHU99" s="39"/>
      <c r="AHV99" s="39"/>
      <c r="AHW99" s="39"/>
      <c r="AHX99" s="39"/>
      <c r="AHY99" s="39"/>
      <c r="AHZ99" s="39"/>
      <c r="AIA99" s="39"/>
      <c r="AIB99" s="39"/>
      <c r="AIC99" s="39"/>
      <c r="AID99" s="39"/>
      <c r="AIE99" s="39"/>
      <c r="AIF99" s="39"/>
      <c r="AIG99" s="39"/>
      <c r="AIH99" s="39"/>
      <c r="AII99" s="39"/>
      <c r="AIJ99" s="39"/>
      <c r="AIK99" s="39"/>
      <c r="AIL99" s="39"/>
      <c r="AIM99" s="39"/>
      <c r="AIN99" s="39"/>
      <c r="AIO99" s="39"/>
      <c r="AIP99" s="39"/>
      <c r="AIQ99" s="39"/>
      <c r="AIR99" s="39"/>
      <c r="AIS99" s="39"/>
      <c r="AIT99" s="39"/>
      <c r="AIU99" s="39"/>
      <c r="AIV99" s="39"/>
      <c r="AIW99" s="39"/>
      <c r="AIX99" s="39"/>
      <c r="AIY99" s="39"/>
      <c r="AIZ99" s="39"/>
      <c r="AJA99" s="39"/>
      <c r="AJB99" s="39"/>
      <c r="AJC99" s="39"/>
      <c r="AJD99" s="39"/>
      <c r="AJE99" s="39"/>
      <c r="AJF99" s="39"/>
      <c r="AJG99" s="39"/>
      <c r="AJH99" s="39"/>
      <c r="AJI99" s="39"/>
      <c r="AJJ99" s="39"/>
      <c r="AJK99" s="39"/>
      <c r="AJL99" s="39"/>
      <c r="AJM99" s="39"/>
      <c r="AJN99" s="39"/>
      <c r="AJO99" s="39"/>
      <c r="AJP99" s="39"/>
      <c r="AJQ99" s="39"/>
      <c r="AJR99" s="39"/>
      <c r="AJS99" s="39"/>
      <c r="AJT99" s="39"/>
      <c r="AJU99" s="39"/>
      <c r="AJV99" s="39"/>
      <c r="AJW99" s="39"/>
      <c r="AJX99" s="39"/>
      <c r="AJY99" s="39"/>
      <c r="AJZ99" s="39"/>
      <c r="AKA99" s="39"/>
      <c r="AKB99" s="39"/>
      <c r="AKC99" s="39"/>
      <c r="AKD99" s="39"/>
      <c r="AKE99" s="39"/>
      <c r="AKF99" s="39"/>
      <c r="AKG99" s="39"/>
      <c r="AKH99" s="39"/>
      <c r="AKI99" s="39"/>
      <c r="AKJ99" s="39"/>
      <c r="AKK99" s="39"/>
      <c r="AKL99" s="39"/>
      <c r="AKM99" s="39"/>
      <c r="AKN99" s="39"/>
      <c r="AKO99" s="39"/>
      <c r="AKP99" s="39"/>
      <c r="AKQ99" s="39"/>
      <c r="AKR99" s="39"/>
      <c r="AKS99" s="39"/>
      <c r="AKT99" s="39"/>
      <c r="AKU99" s="39"/>
      <c r="AKV99" s="39"/>
      <c r="AKW99" s="39"/>
      <c r="AKX99" s="39"/>
      <c r="AKY99" s="39"/>
      <c r="AKZ99" s="39"/>
      <c r="ALA99" s="39"/>
      <c r="ALB99" s="39"/>
      <c r="ALC99" s="39"/>
      <c r="ALD99" s="39"/>
      <c r="ALE99" s="39"/>
      <c r="ALF99" s="39"/>
      <c r="ALG99" s="39"/>
      <c r="ALH99" s="39"/>
      <c r="ALI99" s="39"/>
      <c r="ALJ99" s="39"/>
      <c r="ALK99" s="39"/>
      <c r="ALL99" s="39"/>
      <c r="ALM99" s="39"/>
      <c r="ALN99" s="39"/>
      <c r="ALO99" s="39"/>
      <c r="ALP99" s="39"/>
    </row>
    <row r="100" spans="1:1004" s="102" customFormat="1" ht="13.5">
      <c r="A100" s="903"/>
      <c r="B100" s="904"/>
      <c r="C100" s="930" t="s">
        <v>319</v>
      </c>
      <c r="D100" s="906"/>
      <c r="E100" s="908">
        <v>3</v>
      </c>
      <c r="F100" s="908">
        <v>10</v>
      </c>
      <c r="G100" s="908">
        <f>E100*F100</f>
        <v>30</v>
      </c>
      <c r="H100" s="933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  <c r="FW100" s="39"/>
      <c r="FX100" s="39"/>
      <c r="FY100" s="39"/>
      <c r="FZ100" s="39"/>
      <c r="GA100" s="39"/>
      <c r="GB100" s="39"/>
      <c r="GC100" s="39"/>
      <c r="GD100" s="39"/>
      <c r="GE100" s="39"/>
      <c r="GF100" s="39"/>
      <c r="GG100" s="39"/>
      <c r="GH100" s="39"/>
      <c r="GI100" s="39"/>
      <c r="GJ100" s="39"/>
      <c r="GK100" s="39"/>
      <c r="GL100" s="39"/>
      <c r="GM100" s="39"/>
      <c r="GN100" s="39"/>
      <c r="GO100" s="39"/>
      <c r="GP100" s="39"/>
      <c r="GQ100" s="39"/>
      <c r="GR100" s="39"/>
      <c r="GS100" s="39"/>
      <c r="GT100" s="39"/>
      <c r="GU100" s="39"/>
      <c r="GV100" s="39"/>
      <c r="GW100" s="39"/>
      <c r="GX100" s="39"/>
      <c r="GY100" s="39"/>
      <c r="GZ100" s="39"/>
      <c r="HA100" s="39"/>
      <c r="HB100" s="39"/>
      <c r="HC100" s="39"/>
      <c r="HD100" s="39"/>
      <c r="HE100" s="39"/>
      <c r="HF100" s="39"/>
      <c r="HG100" s="39"/>
      <c r="HH100" s="39"/>
      <c r="HI100" s="39"/>
      <c r="HJ100" s="39"/>
      <c r="HK100" s="39"/>
      <c r="HL100" s="39"/>
      <c r="HM100" s="39"/>
      <c r="HN100" s="39"/>
      <c r="HO100" s="39"/>
      <c r="HP100" s="39"/>
      <c r="HQ100" s="39"/>
      <c r="HR100" s="39"/>
      <c r="HS100" s="39"/>
      <c r="HT100" s="39"/>
      <c r="HU100" s="39"/>
      <c r="HV100" s="39"/>
      <c r="HW100" s="39"/>
      <c r="HX100" s="39"/>
      <c r="HY100" s="39"/>
      <c r="HZ100" s="39"/>
      <c r="IA100" s="39"/>
      <c r="IB100" s="39"/>
      <c r="IC100" s="39"/>
      <c r="ID100" s="39"/>
      <c r="IE100" s="39"/>
      <c r="IF100" s="39"/>
      <c r="IG100" s="39"/>
      <c r="IH100" s="39"/>
      <c r="II100" s="39"/>
      <c r="IJ100" s="39"/>
      <c r="IK100" s="39"/>
      <c r="IL100" s="39"/>
      <c r="IM100" s="39"/>
      <c r="IN100" s="39"/>
      <c r="IO100" s="39"/>
      <c r="IP100" s="39"/>
      <c r="IQ100" s="39"/>
      <c r="IR100" s="39"/>
      <c r="IS100" s="39"/>
      <c r="IT100" s="39"/>
      <c r="IU100" s="39"/>
      <c r="IV100" s="39"/>
      <c r="IW100" s="39"/>
      <c r="IX100" s="39"/>
      <c r="IY100" s="39"/>
      <c r="IZ100" s="39"/>
      <c r="JA100" s="39"/>
      <c r="JB100" s="39"/>
      <c r="JC100" s="39"/>
      <c r="JD100" s="39"/>
      <c r="JE100" s="39"/>
      <c r="JF100" s="39"/>
      <c r="JG100" s="39"/>
      <c r="JH100" s="39"/>
      <c r="JI100" s="39"/>
      <c r="JJ100" s="39"/>
      <c r="JK100" s="39"/>
      <c r="JL100" s="39"/>
      <c r="JM100" s="39"/>
      <c r="JN100" s="39"/>
      <c r="JO100" s="39"/>
      <c r="JP100" s="39"/>
      <c r="JQ100" s="39"/>
      <c r="JR100" s="39"/>
      <c r="JS100" s="39"/>
      <c r="JT100" s="39"/>
      <c r="JU100" s="39"/>
      <c r="JV100" s="39"/>
      <c r="JW100" s="39"/>
      <c r="JX100" s="39"/>
      <c r="JY100" s="39"/>
      <c r="JZ100" s="39"/>
      <c r="KA100" s="39"/>
      <c r="KB100" s="39"/>
      <c r="KC100" s="39"/>
      <c r="KD100" s="39"/>
      <c r="KE100" s="39"/>
      <c r="KF100" s="39"/>
      <c r="KG100" s="39"/>
      <c r="KH100" s="39"/>
      <c r="KI100" s="39"/>
      <c r="KJ100" s="39"/>
      <c r="KK100" s="39"/>
      <c r="KL100" s="39"/>
      <c r="KM100" s="39"/>
      <c r="KN100" s="39"/>
      <c r="KO100" s="39"/>
      <c r="KP100" s="39"/>
      <c r="KQ100" s="39"/>
      <c r="KR100" s="39"/>
      <c r="KS100" s="39"/>
      <c r="KT100" s="39"/>
      <c r="KU100" s="39"/>
      <c r="KV100" s="39"/>
      <c r="KW100" s="39"/>
      <c r="KX100" s="39"/>
      <c r="KY100" s="39"/>
      <c r="KZ100" s="39"/>
      <c r="LA100" s="39"/>
      <c r="LB100" s="39"/>
      <c r="LC100" s="39"/>
      <c r="LD100" s="39"/>
      <c r="LE100" s="39"/>
      <c r="LF100" s="39"/>
      <c r="LG100" s="39"/>
      <c r="LH100" s="39"/>
      <c r="LI100" s="39"/>
      <c r="LJ100" s="39"/>
      <c r="LK100" s="39"/>
      <c r="LL100" s="39"/>
      <c r="LM100" s="39"/>
      <c r="LN100" s="39"/>
      <c r="LO100" s="39"/>
      <c r="LP100" s="39"/>
      <c r="LQ100" s="39"/>
      <c r="LR100" s="39"/>
      <c r="LS100" s="39"/>
      <c r="LT100" s="39"/>
      <c r="LU100" s="39"/>
      <c r="LV100" s="39"/>
      <c r="LW100" s="39"/>
      <c r="LX100" s="39"/>
      <c r="LY100" s="39"/>
      <c r="LZ100" s="39"/>
      <c r="MA100" s="39"/>
      <c r="MB100" s="39"/>
      <c r="MC100" s="39"/>
      <c r="MD100" s="39"/>
      <c r="ME100" s="39"/>
      <c r="MF100" s="39"/>
      <c r="MG100" s="39"/>
      <c r="MH100" s="39"/>
      <c r="MI100" s="39"/>
      <c r="MJ100" s="39"/>
      <c r="MK100" s="39"/>
      <c r="ML100" s="39"/>
      <c r="MM100" s="39"/>
      <c r="MN100" s="39"/>
      <c r="MO100" s="39"/>
      <c r="MP100" s="39"/>
      <c r="MQ100" s="39"/>
      <c r="MR100" s="39"/>
      <c r="MS100" s="39"/>
      <c r="MT100" s="39"/>
      <c r="MU100" s="39"/>
      <c r="MV100" s="39"/>
      <c r="MW100" s="39"/>
      <c r="MX100" s="39"/>
      <c r="MY100" s="39"/>
      <c r="MZ100" s="39"/>
      <c r="NA100" s="39"/>
      <c r="NB100" s="39"/>
      <c r="NC100" s="39"/>
      <c r="ND100" s="39"/>
      <c r="NE100" s="39"/>
      <c r="NF100" s="39"/>
      <c r="NG100" s="39"/>
      <c r="NH100" s="39"/>
      <c r="NI100" s="39"/>
      <c r="NJ100" s="39"/>
      <c r="NK100" s="39"/>
      <c r="NL100" s="39"/>
      <c r="NM100" s="39"/>
      <c r="NN100" s="39"/>
      <c r="NO100" s="39"/>
      <c r="NP100" s="39"/>
      <c r="NQ100" s="39"/>
      <c r="NR100" s="39"/>
      <c r="NS100" s="39"/>
      <c r="NT100" s="39"/>
      <c r="NU100" s="39"/>
      <c r="NV100" s="39"/>
      <c r="NW100" s="39"/>
      <c r="NX100" s="39"/>
      <c r="NY100" s="39"/>
      <c r="NZ100" s="39"/>
      <c r="OA100" s="39"/>
      <c r="OB100" s="39"/>
      <c r="OC100" s="39"/>
      <c r="OD100" s="39"/>
      <c r="OE100" s="39"/>
      <c r="OF100" s="39"/>
      <c r="OG100" s="39"/>
      <c r="OH100" s="39"/>
      <c r="OI100" s="39"/>
      <c r="OJ100" s="39"/>
      <c r="OK100" s="39"/>
      <c r="OL100" s="39"/>
      <c r="OM100" s="39"/>
      <c r="ON100" s="39"/>
      <c r="OO100" s="39"/>
      <c r="OP100" s="39"/>
      <c r="OQ100" s="39"/>
      <c r="OR100" s="39"/>
      <c r="OS100" s="39"/>
      <c r="OT100" s="39"/>
      <c r="OU100" s="39"/>
      <c r="OV100" s="39"/>
      <c r="OW100" s="39"/>
      <c r="OX100" s="39"/>
      <c r="OY100" s="39"/>
      <c r="OZ100" s="39"/>
      <c r="PA100" s="39"/>
      <c r="PB100" s="39"/>
      <c r="PC100" s="39"/>
      <c r="PD100" s="39"/>
      <c r="PE100" s="39"/>
      <c r="PF100" s="39"/>
      <c r="PG100" s="39"/>
      <c r="PH100" s="39"/>
      <c r="PI100" s="39"/>
      <c r="PJ100" s="39"/>
      <c r="PK100" s="39"/>
      <c r="PL100" s="39"/>
      <c r="PM100" s="39"/>
      <c r="PN100" s="39"/>
      <c r="PO100" s="39"/>
      <c r="PP100" s="39"/>
      <c r="PQ100" s="39"/>
      <c r="PR100" s="39"/>
      <c r="PS100" s="39"/>
      <c r="PT100" s="39"/>
      <c r="PU100" s="39"/>
      <c r="PV100" s="39"/>
      <c r="PW100" s="39"/>
      <c r="PX100" s="39"/>
      <c r="PY100" s="39"/>
      <c r="PZ100" s="39"/>
      <c r="QA100" s="39"/>
      <c r="QB100" s="39"/>
      <c r="QC100" s="39"/>
      <c r="QD100" s="39"/>
      <c r="QE100" s="39"/>
      <c r="QF100" s="39"/>
      <c r="QG100" s="39"/>
      <c r="QH100" s="39"/>
      <c r="QI100" s="39"/>
      <c r="QJ100" s="39"/>
      <c r="QK100" s="39"/>
      <c r="QL100" s="39"/>
      <c r="QM100" s="39"/>
      <c r="QN100" s="39"/>
      <c r="QO100" s="39"/>
      <c r="QP100" s="39"/>
      <c r="QQ100" s="39"/>
      <c r="QR100" s="39"/>
      <c r="QS100" s="39"/>
      <c r="QT100" s="39"/>
      <c r="QU100" s="39"/>
      <c r="QV100" s="39"/>
      <c r="QW100" s="39"/>
      <c r="QX100" s="39"/>
      <c r="QY100" s="39"/>
      <c r="QZ100" s="39"/>
      <c r="RA100" s="39"/>
      <c r="RB100" s="39"/>
      <c r="RC100" s="39"/>
      <c r="RD100" s="39"/>
      <c r="RE100" s="39"/>
      <c r="RF100" s="39"/>
      <c r="RG100" s="39"/>
      <c r="RH100" s="39"/>
      <c r="RI100" s="39"/>
      <c r="RJ100" s="39"/>
      <c r="RK100" s="39"/>
      <c r="RL100" s="39"/>
      <c r="RM100" s="39"/>
      <c r="RN100" s="39"/>
      <c r="RO100" s="39"/>
      <c r="RP100" s="39"/>
      <c r="RQ100" s="39"/>
      <c r="RR100" s="39"/>
      <c r="RS100" s="39"/>
      <c r="RT100" s="39"/>
      <c r="RU100" s="39"/>
      <c r="RV100" s="39"/>
      <c r="RW100" s="39"/>
      <c r="RX100" s="39"/>
      <c r="RY100" s="39"/>
      <c r="RZ100" s="39"/>
      <c r="SA100" s="39"/>
      <c r="SB100" s="39"/>
      <c r="SC100" s="39"/>
      <c r="SD100" s="39"/>
      <c r="SE100" s="39"/>
      <c r="SF100" s="39"/>
      <c r="SG100" s="39"/>
      <c r="SH100" s="39"/>
      <c r="SI100" s="39"/>
      <c r="SJ100" s="39"/>
      <c r="SK100" s="39"/>
      <c r="SL100" s="39"/>
      <c r="SM100" s="39"/>
      <c r="SN100" s="39"/>
      <c r="SO100" s="39"/>
      <c r="SP100" s="39"/>
      <c r="SQ100" s="39"/>
      <c r="SR100" s="39"/>
      <c r="SS100" s="39"/>
      <c r="ST100" s="39"/>
      <c r="SU100" s="39"/>
      <c r="SV100" s="39"/>
      <c r="SW100" s="39"/>
      <c r="SX100" s="39"/>
      <c r="SY100" s="39"/>
      <c r="SZ100" s="39"/>
      <c r="TA100" s="39"/>
      <c r="TB100" s="39"/>
      <c r="TC100" s="39"/>
      <c r="TD100" s="39"/>
      <c r="TE100" s="39"/>
      <c r="TF100" s="39"/>
      <c r="TG100" s="39"/>
      <c r="TH100" s="39"/>
      <c r="TI100" s="39"/>
      <c r="TJ100" s="39"/>
      <c r="TK100" s="39"/>
      <c r="TL100" s="39"/>
      <c r="TM100" s="39"/>
      <c r="TN100" s="39"/>
      <c r="TO100" s="39"/>
      <c r="TP100" s="39"/>
      <c r="TQ100" s="39"/>
      <c r="TR100" s="39"/>
      <c r="TS100" s="39"/>
      <c r="TT100" s="39"/>
      <c r="TU100" s="39"/>
      <c r="TV100" s="39"/>
      <c r="TW100" s="39"/>
      <c r="TX100" s="39"/>
      <c r="TY100" s="39"/>
      <c r="TZ100" s="39"/>
      <c r="UA100" s="39"/>
      <c r="UB100" s="39"/>
      <c r="UC100" s="39"/>
      <c r="UD100" s="39"/>
      <c r="UE100" s="39"/>
      <c r="UF100" s="39"/>
      <c r="UG100" s="39"/>
      <c r="UH100" s="39"/>
      <c r="UI100" s="39"/>
      <c r="UJ100" s="39"/>
      <c r="UK100" s="39"/>
      <c r="UL100" s="39"/>
      <c r="UM100" s="39"/>
      <c r="UN100" s="39"/>
      <c r="UO100" s="39"/>
      <c r="UP100" s="39"/>
      <c r="UQ100" s="39"/>
      <c r="UR100" s="39"/>
      <c r="US100" s="39"/>
      <c r="UT100" s="39"/>
      <c r="UU100" s="39"/>
      <c r="UV100" s="39"/>
      <c r="UW100" s="39"/>
      <c r="UX100" s="39"/>
      <c r="UY100" s="39"/>
      <c r="UZ100" s="39"/>
      <c r="VA100" s="39"/>
      <c r="VB100" s="39"/>
      <c r="VC100" s="39"/>
      <c r="VD100" s="39"/>
      <c r="VE100" s="39"/>
      <c r="VF100" s="39"/>
      <c r="VG100" s="39"/>
      <c r="VH100" s="39"/>
      <c r="VI100" s="39"/>
      <c r="VJ100" s="39"/>
      <c r="VK100" s="39"/>
      <c r="VL100" s="39"/>
      <c r="VM100" s="39"/>
      <c r="VN100" s="39"/>
      <c r="VO100" s="39"/>
      <c r="VP100" s="39"/>
      <c r="VQ100" s="39"/>
      <c r="VR100" s="39"/>
      <c r="VS100" s="39"/>
      <c r="VT100" s="39"/>
      <c r="VU100" s="39"/>
      <c r="VV100" s="39"/>
      <c r="VW100" s="39"/>
      <c r="VX100" s="39"/>
      <c r="VY100" s="39"/>
      <c r="VZ100" s="39"/>
      <c r="WA100" s="39"/>
      <c r="WB100" s="39"/>
      <c r="WC100" s="39"/>
      <c r="WD100" s="39"/>
      <c r="WE100" s="39"/>
      <c r="WF100" s="39"/>
      <c r="WG100" s="39"/>
      <c r="WH100" s="39"/>
      <c r="WI100" s="39"/>
      <c r="WJ100" s="39"/>
      <c r="WK100" s="39"/>
      <c r="WL100" s="39"/>
      <c r="WM100" s="39"/>
      <c r="WN100" s="39"/>
      <c r="WO100" s="39"/>
      <c r="WP100" s="39"/>
      <c r="WQ100" s="39"/>
      <c r="WR100" s="39"/>
      <c r="WS100" s="39"/>
      <c r="WT100" s="39"/>
      <c r="WU100" s="39"/>
      <c r="WV100" s="39"/>
      <c r="WW100" s="39"/>
      <c r="WX100" s="39"/>
      <c r="WY100" s="39"/>
      <c r="WZ100" s="39"/>
      <c r="XA100" s="39"/>
      <c r="XB100" s="39"/>
      <c r="XC100" s="39"/>
      <c r="XD100" s="39"/>
      <c r="XE100" s="39"/>
      <c r="XF100" s="39"/>
      <c r="XG100" s="39"/>
      <c r="XH100" s="39"/>
      <c r="XI100" s="39"/>
      <c r="XJ100" s="39"/>
      <c r="XK100" s="39"/>
      <c r="XL100" s="39"/>
      <c r="XM100" s="39"/>
      <c r="XN100" s="39"/>
      <c r="XO100" s="39"/>
      <c r="XP100" s="39"/>
      <c r="XQ100" s="39"/>
      <c r="XR100" s="39"/>
      <c r="XS100" s="39"/>
      <c r="XT100" s="39"/>
      <c r="XU100" s="39"/>
      <c r="XV100" s="39"/>
      <c r="XW100" s="39"/>
      <c r="XX100" s="39"/>
      <c r="XY100" s="39"/>
      <c r="XZ100" s="39"/>
      <c r="YA100" s="39"/>
      <c r="YB100" s="39"/>
      <c r="YC100" s="39"/>
      <c r="YD100" s="39"/>
      <c r="YE100" s="39"/>
      <c r="YF100" s="39"/>
      <c r="YG100" s="39"/>
      <c r="YH100" s="39"/>
      <c r="YI100" s="39"/>
      <c r="YJ100" s="39"/>
      <c r="YK100" s="39"/>
      <c r="YL100" s="39"/>
      <c r="YM100" s="39"/>
      <c r="YN100" s="39"/>
      <c r="YO100" s="39"/>
      <c r="YP100" s="39"/>
      <c r="YQ100" s="39"/>
      <c r="YR100" s="39"/>
      <c r="YS100" s="39"/>
      <c r="YT100" s="39"/>
      <c r="YU100" s="39"/>
      <c r="YV100" s="39"/>
      <c r="YW100" s="39"/>
      <c r="YX100" s="39"/>
      <c r="YY100" s="39"/>
      <c r="YZ100" s="39"/>
      <c r="ZA100" s="39"/>
      <c r="ZB100" s="39"/>
      <c r="ZC100" s="39"/>
      <c r="ZD100" s="39"/>
      <c r="ZE100" s="39"/>
      <c r="ZF100" s="39"/>
      <c r="ZG100" s="39"/>
      <c r="ZH100" s="39"/>
      <c r="ZI100" s="39"/>
      <c r="ZJ100" s="39"/>
      <c r="ZK100" s="39"/>
      <c r="ZL100" s="39"/>
      <c r="ZM100" s="39"/>
      <c r="ZN100" s="39"/>
      <c r="ZO100" s="39"/>
      <c r="ZP100" s="39"/>
      <c r="ZQ100" s="39"/>
      <c r="ZR100" s="39"/>
      <c r="ZS100" s="39"/>
      <c r="ZT100" s="39"/>
      <c r="ZU100" s="39"/>
      <c r="ZV100" s="39"/>
      <c r="ZW100" s="39"/>
      <c r="ZX100" s="39"/>
      <c r="ZY100" s="39"/>
      <c r="ZZ100" s="39"/>
      <c r="AAA100" s="39"/>
      <c r="AAB100" s="39"/>
      <c r="AAC100" s="39"/>
      <c r="AAD100" s="39"/>
      <c r="AAE100" s="39"/>
      <c r="AAF100" s="39"/>
      <c r="AAG100" s="39"/>
      <c r="AAH100" s="39"/>
      <c r="AAI100" s="39"/>
      <c r="AAJ100" s="39"/>
      <c r="AAK100" s="39"/>
      <c r="AAL100" s="39"/>
      <c r="AAM100" s="39"/>
      <c r="AAN100" s="39"/>
      <c r="AAO100" s="39"/>
      <c r="AAP100" s="39"/>
      <c r="AAQ100" s="39"/>
      <c r="AAR100" s="39"/>
      <c r="AAS100" s="39"/>
      <c r="AAT100" s="39"/>
      <c r="AAU100" s="39"/>
      <c r="AAV100" s="39"/>
      <c r="AAW100" s="39"/>
      <c r="AAX100" s="39"/>
      <c r="AAY100" s="39"/>
      <c r="AAZ100" s="39"/>
      <c r="ABA100" s="39"/>
      <c r="ABB100" s="39"/>
      <c r="ABC100" s="39"/>
      <c r="ABD100" s="39"/>
      <c r="ABE100" s="39"/>
      <c r="ABF100" s="39"/>
      <c r="ABG100" s="39"/>
      <c r="ABH100" s="39"/>
      <c r="ABI100" s="39"/>
      <c r="ABJ100" s="39"/>
      <c r="ABK100" s="39"/>
      <c r="ABL100" s="39"/>
      <c r="ABM100" s="39"/>
      <c r="ABN100" s="39"/>
      <c r="ABO100" s="39"/>
      <c r="ABP100" s="39"/>
      <c r="ABQ100" s="39"/>
      <c r="ABR100" s="39"/>
      <c r="ABS100" s="39"/>
      <c r="ABT100" s="39"/>
      <c r="ABU100" s="39"/>
      <c r="ABV100" s="39"/>
      <c r="ABW100" s="39"/>
      <c r="ABX100" s="39"/>
      <c r="ABY100" s="39"/>
      <c r="ABZ100" s="39"/>
      <c r="ACA100" s="39"/>
      <c r="ACB100" s="39"/>
      <c r="ACC100" s="39"/>
      <c r="ACD100" s="39"/>
      <c r="ACE100" s="39"/>
      <c r="ACF100" s="39"/>
      <c r="ACG100" s="39"/>
      <c r="ACH100" s="39"/>
      <c r="ACI100" s="39"/>
      <c r="ACJ100" s="39"/>
      <c r="ACK100" s="39"/>
      <c r="ACL100" s="39"/>
      <c r="ACM100" s="39"/>
      <c r="ACN100" s="39"/>
      <c r="ACO100" s="39"/>
      <c r="ACP100" s="39"/>
      <c r="ACQ100" s="39"/>
      <c r="ACR100" s="39"/>
      <c r="ACS100" s="39"/>
      <c r="ACT100" s="39"/>
      <c r="ACU100" s="39"/>
      <c r="ACV100" s="39"/>
      <c r="ACW100" s="39"/>
      <c r="ACX100" s="39"/>
      <c r="ACY100" s="39"/>
      <c r="ACZ100" s="39"/>
      <c r="ADA100" s="39"/>
      <c r="ADB100" s="39"/>
      <c r="ADC100" s="39"/>
      <c r="ADD100" s="39"/>
      <c r="ADE100" s="39"/>
      <c r="ADF100" s="39"/>
      <c r="ADG100" s="39"/>
      <c r="ADH100" s="39"/>
      <c r="ADI100" s="39"/>
      <c r="ADJ100" s="39"/>
      <c r="ADK100" s="39"/>
      <c r="ADL100" s="39"/>
      <c r="ADM100" s="39"/>
      <c r="ADN100" s="39"/>
      <c r="ADO100" s="39"/>
      <c r="ADP100" s="39"/>
      <c r="ADQ100" s="39"/>
      <c r="ADR100" s="39"/>
      <c r="ADS100" s="39"/>
      <c r="ADT100" s="39"/>
      <c r="ADU100" s="39"/>
      <c r="ADV100" s="39"/>
      <c r="ADW100" s="39"/>
      <c r="ADX100" s="39"/>
      <c r="ADY100" s="39"/>
      <c r="ADZ100" s="39"/>
      <c r="AEA100" s="39"/>
      <c r="AEB100" s="39"/>
      <c r="AEC100" s="39"/>
      <c r="AED100" s="39"/>
      <c r="AEE100" s="39"/>
      <c r="AEF100" s="39"/>
      <c r="AEG100" s="39"/>
      <c r="AEH100" s="39"/>
      <c r="AEI100" s="39"/>
      <c r="AEJ100" s="39"/>
      <c r="AEK100" s="39"/>
      <c r="AEL100" s="39"/>
      <c r="AEM100" s="39"/>
      <c r="AEN100" s="39"/>
      <c r="AEO100" s="39"/>
      <c r="AEP100" s="39"/>
      <c r="AEQ100" s="39"/>
      <c r="AER100" s="39"/>
      <c r="AES100" s="39"/>
      <c r="AET100" s="39"/>
      <c r="AEU100" s="39"/>
      <c r="AEV100" s="39"/>
      <c r="AEW100" s="39"/>
      <c r="AEX100" s="39"/>
      <c r="AEY100" s="39"/>
      <c r="AEZ100" s="39"/>
      <c r="AFA100" s="39"/>
      <c r="AFB100" s="39"/>
      <c r="AFC100" s="39"/>
      <c r="AFD100" s="39"/>
      <c r="AFE100" s="39"/>
      <c r="AFF100" s="39"/>
      <c r="AFG100" s="39"/>
      <c r="AFH100" s="39"/>
      <c r="AFI100" s="39"/>
      <c r="AFJ100" s="39"/>
      <c r="AFK100" s="39"/>
      <c r="AFL100" s="39"/>
      <c r="AFM100" s="39"/>
      <c r="AFN100" s="39"/>
      <c r="AFO100" s="39"/>
      <c r="AFP100" s="39"/>
      <c r="AFQ100" s="39"/>
      <c r="AFR100" s="39"/>
      <c r="AFS100" s="39"/>
      <c r="AFT100" s="39"/>
      <c r="AFU100" s="39"/>
      <c r="AFV100" s="39"/>
      <c r="AFW100" s="39"/>
      <c r="AFX100" s="39"/>
      <c r="AFY100" s="39"/>
      <c r="AFZ100" s="39"/>
      <c r="AGA100" s="39"/>
      <c r="AGB100" s="39"/>
      <c r="AGC100" s="39"/>
      <c r="AGD100" s="39"/>
      <c r="AGE100" s="39"/>
      <c r="AGF100" s="39"/>
      <c r="AGG100" s="39"/>
      <c r="AGH100" s="39"/>
      <c r="AGI100" s="39"/>
      <c r="AGJ100" s="39"/>
      <c r="AGK100" s="39"/>
      <c r="AGL100" s="39"/>
      <c r="AGM100" s="39"/>
      <c r="AGN100" s="39"/>
      <c r="AGO100" s="39"/>
      <c r="AGP100" s="39"/>
      <c r="AGQ100" s="39"/>
      <c r="AGR100" s="39"/>
      <c r="AGS100" s="39"/>
      <c r="AGT100" s="39"/>
      <c r="AGU100" s="39"/>
      <c r="AGV100" s="39"/>
      <c r="AGW100" s="39"/>
      <c r="AGX100" s="39"/>
      <c r="AGY100" s="39"/>
      <c r="AGZ100" s="39"/>
      <c r="AHA100" s="39"/>
      <c r="AHB100" s="39"/>
      <c r="AHC100" s="39"/>
      <c r="AHD100" s="39"/>
      <c r="AHE100" s="39"/>
      <c r="AHF100" s="39"/>
      <c r="AHG100" s="39"/>
      <c r="AHH100" s="39"/>
      <c r="AHI100" s="39"/>
      <c r="AHJ100" s="39"/>
      <c r="AHK100" s="39"/>
      <c r="AHL100" s="39"/>
      <c r="AHM100" s="39"/>
      <c r="AHN100" s="39"/>
      <c r="AHO100" s="39"/>
      <c r="AHP100" s="39"/>
      <c r="AHQ100" s="39"/>
      <c r="AHR100" s="39"/>
      <c r="AHS100" s="39"/>
      <c r="AHT100" s="39"/>
      <c r="AHU100" s="39"/>
      <c r="AHV100" s="39"/>
      <c r="AHW100" s="39"/>
      <c r="AHX100" s="39"/>
      <c r="AHY100" s="39"/>
      <c r="AHZ100" s="39"/>
      <c r="AIA100" s="39"/>
      <c r="AIB100" s="39"/>
      <c r="AIC100" s="39"/>
      <c r="AID100" s="39"/>
      <c r="AIE100" s="39"/>
      <c r="AIF100" s="39"/>
      <c r="AIG100" s="39"/>
      <c r="AIH100" s="39"/>
      <c r="AII100" s="39"/>
      <c r="AIJ100" s="39"/>
      <c r="AIK100" s="39"/>
      <c r="AIL100" s="39"/>
      <c r="AIM100" s="39"/>
      <c r="AIN100" s="39"/>
      <c r="AIO100" s="39"/>
      <c r="AIP100" s="39"/>
      <c r="AIQ100" s="39"/>
      <c r="AIR100" s="39"/>
      <c r="AIS100" s="39"/>
      <c r="AIT100" s="39"/>
      <c r="AIU100" s="39"/>
      <c r="AIV100" s="39"/>
      <c r="AIW100" s="39"/>
      <c r="AIX100" s="39"/>
      <c r="AIY100" s="39"/>
      <c r="AIZ100" s="39"/>
      <c r="AJA100" s="39"/>
      <c r="AJB100" s="39"/>
      <c r="AJC100" s="39"/>
      <c r="AJD100" s="39"/>
      <c r="AJE100" s="39"/>
      <c r="AJF100" s="39"/>
      <c r="AJG100" s="39"/>
      <c r="AJH100" s="39"/>
      <c r="AJI100" s="39"/>
      <c r="AJJ100" s="39"/>
      <c r="AJK100" s="39"/>
      <c r="AJL100" s="39"/>
      <c r="AJM100" s="39"/>
      <c r="AJN100" s="39"/>
      <c r="AJO100" s="39"/>
      <c r="AJP100" s="39"/>
      <c r="AJQ100" s="39"/>
      <c r="AJR100" s="39"/>
      <c r="AJS100" s="39"/>
      <c r="AJT100" s="39"/>
      <c r="AJU100" s="39"/>
      <c r="AJV100" s="39"/>
      <c r="AJW100" s="39"/>
      <c r="AJX100" s="39"/>
      <c r="AJY100" s="39"/>
      <c r="AJZ100" s="39"/>
      <c r="AKA100" s="39"/>
      <c r="AKB100" s="39"/>
      <c r="AKC100" s="39"/>
      <c r="AKD100" s="39"/>
      <c r="AKE100" s="39"/>
      <c r="AKF100" s="39"/>
      <c r="AKG100" s="39"/>
      <c r="AKH100" s="39"/>
      <c r="AKI100" s="39"/>
      <c r="AKJ100" s="39"/>
      <c r="AKK100" s="39"/>
      <c r="AKL100" s="39"/>
      <c r="AKM100" s="39"/>
      <c r="AKN100" s="39"/>
      <c r="AKO100" s="39"/>
      <c r="AKP100" s="39"/>
      <c r="AKQ100" s="39"/>
      <c r="AKR100" s="39"/>
      <c r="AKS100" s="39"/>
      <c r="AKT100" s="39"/>
      <c r="AKU100" s="39"/>
      <c r="AKV100" s="39"/>
      <c r="AKW100" s="39"/>
      <c r="AKX100" s="39"/>
      <c r="AKY100" s="39"/>
      <c r="AKZ100" s="39"/>
      <c r="ALA100" s="39"/>
      <c r="ALB100" s="39"/>
      <c r="ALC100" s="39"/>
      <c r="ALD100" s="39"/>
      <c r="ALE100" s="39"/>
      <c r="ALF100" s="39"/>
      <c r="ALG100" s="39"/>
      <c r="ALH100" s="39"/>
      <c r="ALI100" s="39"/>
      <c r="ALJ100" s="39"/>
      <c r="ALK100" s="39"/>
      <c r="ALL100" s="39"/>
      <c r="ALM100" s="39"/>
      <c r="ALN100" s="39"/>
      <c r="ALO100" s="39"/>
      <c r="ALP100" s="39"/>
    </row>
    <row r="101" spans="1:1004" s="102" customFormat="1" ht="13.5">
      <c r="A101" s="903"/>
      <c r="B101" s="904"/>
      <c r="C101" s="930" t="s">
        <v>320</v>
      </c>
      <c r="D101" s="906"/>
      <c r="E101" s="908">
        <v>1</v>
      </c>
      <c r="F101" s="908">
        <v>5</v>
      </c>
      <c r="G101" s="908">
        <f>E101*F101</f>
        <v>5</v>
      </c>
      <c r="H101" s="933"/>
    </row>
    <row r="102" spans="1:1004" s="102" customFormat="1" ht="13.5">
      <c r="A102" s="903"/>
      <c r="B102" s="904"/>
      <c r="C102" s="930" t="s">
        <v>321</v>
      </c>
      <c r="D102" s="906"/>
      <c r="E102" s="908">
        <v>0</v>
      </c>
      <c r="F102" s="908">
        <v>10</v>
      </c>
      <c r="G102" s="908">
        <f>E102*F102</f>
        <v>0</v>
      </c>
      <c r="H102" s="933"/>
    </row>
    <row r="103" spans="1:1004" s="102" customFormat="1" ht="13.5">
      <c r="A103" s="903"/>
      <c r="B103" s="904"/>
      <c r="C103" s="930" t="s">
        <v>322</v>
      </c>
      <c r="D103" s="906"/>
      <c r="E103" s="908">
        <v>1</v>
      </c>
      <c r="F103" s="908">
        <v>120</v>
      </c>
      <c r="G103" s="908">
        <f>E103*F103</f>
        <v>120</v>
      </c>
      <c r="H103" s="933"/>
    </row>
    <row r="104" spans="1:1004" s="102" customFormat="1" ht="13.5">
      <c r="A104" s="903"/>
      <c r="B104" s="904"/>
      <c r="C104" s="930" t="s">
        <v>323</v>
      </c>
      <c r="D104" s="906"/>
      <c r="E104" s="931">
        <v>0</v>
      </c>
      <c r="F104" s="932">
        <v>100</v>
      </c>
      <c r="G104" s="908">
        <f>E104*F104</f>
        <v>0</v>
      </c>
      <c r="H104" s="933"/>
    </row>
    <row r="105" spans="1:1004" s="39" customFormat="1" ht="11.45" customHeight="1">
      <c r="A105" s="23"/>
      <c r="B105" s="24"/>
      <c r="C105" s="30"/>
      <c r="D105" s="25"/>
      <c r="E105" s="26"/>
      <c r="F105" s="27" t="s">
        <v>15</v>
      </c>
      <c r="G105" s="28">
        <f>SUM(G97:G104)</f>
        <v>309</v>
      </c>
      <c r="H105" s="29"/>
    </row>
    <row r="106" spans="1:1004" s="39" customFormat="1" ht="11.45" customHeight="1">
      <c r="A106" s="914"/>
      <c r="B106" s="915"/>
      <c r="C106" s="916"/>
      <c r="D106" s="917"/>
      <c r="E106" s="918"/>
      <c r="F106" s="919" t="s">
        <v>16</v>
      </c>
      <c r="G106" s="920">
        <v>1.2</v>
      </c>
      <c r="H106" s="921"/>
    </row>
    <row r="107" spans="1:1004" s="39" customFormat="1" ht="11.45" customHeight="1">
      <c r="A107" s="922"/>
      <c r="B107" s="923"/>
      <c r="C107" s="924"/>
      <c r="D107" s="925"/>
      <c r="E107" s="926"/>
      <c r="F107" s="927" t="s">
        <v>17</v>
      </c>
      <c r="G107" s="928">
        <f>G105*G106</f>
        <v>370.8</v>
      </c>
      <c r="H107" s="929"/>
    </row>
    <row r="108" spans="1:1004" s="39" customFormat="1" ht="13.5">
      <c r="A108" s="802" t="s">
        <v>324</v>
      </c>
      <c r="B108" s="149"/>
      <c r="C108" s="150"/>
      <c r="D108" s="151"/>
      <c r="E108" s="151"/>
      <c r="F108" s="152"/>
      <c r="G108" s="152"/>
      <c r="H108" s="849"/>
    </row>
    <row r="109" spans="1:1004" s="102" customFormat="1" ht="13.5">
      <c r="A109" s="903"/>
      <c r="B109" s="904"/>
      <c r="C109" s="930" t="s">
        <v>325</v>
      </c>
      <c r="D109" s="906"/>
      <c r="E109" s="908">
        <v>2</v>
      </c>
      <c r="F109" s="908">
        <v>45</v>
      </c>
      <c r="G109" s="908">
        <f>E109*F109</f>
        <v>90</v>
      </c>
      <c r="H109" s="933"/>
    </row>
    <row r="110" spans="1:1004" s="102" customFormat="1" ht="13.5">
      <c r="A110" s="903"/>
      <c r="B110" s="904"/>
      <c r="C110" s="930" t="s">
        <v>326</v>
      </c>
      <c r="D110" s="906"/>
      <c r="E110" s="908">
        <v>2</v>
      </c>
      <c r="F110" s="908">
        <v>30</v>
      </c>
      <c r="G110" s="908">
        <f>E110*F110</f>
        <v>60</v>
      </c>
      <c r="H110" s="933"/>
    </row>
    <row r="111" spans="1:1004" s="42" customFormat="1" ht="13.5">
      <c r="A111" s="903"/>
      <c r="B111" s="904"/>
      <c r="C111" s="930" t="s">
        <v>327</v>
      </c>
      <c r="D111" s="906"/>
      <c r="E111" s="908">
        <v>2</v>
      </c>
      <c r="F111" s="908">
        <v>30</v>
      </c>
      <c r="G111" s="908">
        <f>E111*F111</f>
        <v>60</v>
      </c>
      <c r="H111" s="933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  <c r="FU111" s="39"/>
      <c r="FV111" s="39"/>
      <c r="FW111" s="39"/>
      <c r="FX111" s="39"/>
      <c r="FY111" s="39"/>
      <c r="FZ111" s="39"/>
      <c r="GA111" s="39"/>
      <c r="GB111" s="39"/>
      <c r="GC111" s="39"/>
      <c r="GD111" s="39"/>
      <c r="GE111" s="39"/>
      <c r="GF111" s="39"/>
      <c r="GG111" s="39"/>
      <c r="GH111" s="39"/>
      <c r="GI111" s="39"/>
      <c r="GJ111" s="39"/>
      <c r="GK111" s="39"/>
      <c r="GL111" s="39"/>
      <c r="GM111" s="39"/>
      <c r="GN111" s="39"/>
      <c r="GO111" s="39"/>
      <c r="GP111" s="39"/>
      <c r="GQ111" s="39"/>
      <c r="GR111" s="39"/>
      <c r="GS111" s="39"/>
      <c r="GT111" s="39"/>
      <c r="GU111" s="39"/>
      <c r="GV111" s="39"/>
      <c r="GW111" s="39"/>
      <c r="GX111" s="39"/>
      <c r="GY111" s="39"/>
      <c r="GZ111" s="39"/>
      <c r="HA111" s="39"/>
      <c r="HB111" s="39"/>
      <c r="HC111" s="39"/>
      <c r="HD111" s="39"/>
      <c r="HE111" s="39"/>
      <c r="HF111" s="39"/>
      <c r="HG111" s="39"/>
      <c r="HH111" s="39"/>
      <c r="HI111" s="39"/>
      <c r="HJ111" s="39"/>
      <c r="HK111" s="39"/>
      <c r="HL111" s="39"/>
      <c r="HM111" s="39"/>
      <c r="HN111" s="39"/>
      <c r="HO111" s="39"/>
      <c r="HP111" s="39"/>
      <c r="HQ111" s="39"/>
      <c r="HR111" s="39"/>
      <c r="HS111" s="39"/>
      <c r="HT111" s="39"/>
      <c r="HU111" s="39"/>
      <c r="HV111" s="39"/>
      <c r="HW111" s="39"/>
      <c r="HX111" s="39"/>
      <c r="HY111" s="39"/>
      <c r="HZ111" s="39"/>
      <c r="IA111" s="39"/>
      <c r="IB111" s="39"/>
      <c r="IC111" s="39"/>
      <c r="ID111" s="39"/>
      <c r="IE111" s="39"/>
      <c r="IF111" s="39"/>
      <c r="IG111" s="39"/>
      <c r="IH111" s="39"/>
      <c r="II111" s="39"/>
      <c r="IJ111" s="39"/>
      <c r="IK111" s="39"/>
      <c r="IL111" s="39"/>
      <c r="IM111" s="39"/>
      <c r="IN111" s="39"/>
      <c r="IO111" s="39"/>
      <c r="IP111" s="39"/>
      <c r="IQ111" s="39"/>
      <c r="IR111" s="39"/>
      <c r="IS111" s="39"/>
      <c r="IT111" s="39"/>
      <c r="IU111" s="39"/>
      <c r="IV111" s="39"/>
      <c r="IW111" s="39"/>
      <c r="IX111" s="39"/>
      <c r="IY111" s="39"/>
      <c r="IZ111" s="39"/>
      <c r="JA111" s="39"/>
      <c r="JB111" s="39"/>
      <c r="JC111" s="39"/>
      <c r="JD111" s="39"/>
      <c r="JE111" s="39"/>
      <c r="JF111" s="39"/>
      <c r="JG111" s="39"/>
      <c r="JH111" s="39"/>
      <c r="JI111" s="39"/>
      <c r="JJ111" s="39"/>
      <c r="JK111" s="39"/>
      <c r="JL111" s="39"/>
      <c r="JM111" s="39"/>
      <c r="JN111" s="39"/>
      <c r="JO111" s="39"/>
      <c r="JP111" s="39"/>
      <c r="JQ111" s="39"/>
      <c r="JR111" s="39"/>
      <c r="JS111" s="39"/>
      <c r="JT111" s="39"/>
      <c r="JU111" s="39"/>
      <c r="JV111" s="39"/>
      <c r="JW111" s="39"/>
      <c r="JX111" s="39"/>
      <c r="JY111" s="39"/>
      <c r="JZ111" s="39"/>
      <c r="KA111" s="39"/>
      <c r="KB111" s="39"/>
      <c r="KC111" s="39"/>
      <c r="KD111" s="39"/>
      <c r="KE111" s="39"/>
      <c r="KF111" s="39"/>
      <c r="KG111" s="39"/>
      <c r="KH111" s="39"/>
      <c r="KI111" s="39"/>
      <c r="KJ111" s="39"/>
      <c r="KK111" s="39"/>
      <c r="KL111" s="39"/>
      <c r="KM111" s="39"/>
      <c r="KN111" s="39"/>
      <c r="KO111" s="39"/>
      <c r="KP111" s="39"/>
      <c r="KQ111" s="39"/>
      <c r="KR111" s="39"/>
      <c r="KS111" s="39"/>
      <c r="KT111" s="39"/>
      <c r="KU111" s="39"/>
      <c r="KV111" s="39"/>
      <c r="KW111" s="39"/>
      <c r="KX111" s="39"/>
      <c r="KY111" s="39"/>
      <c r="KZ111" s="39"/>
      <c r="LA111" s="39"/>
      <c r="LB111" s="39"/>
      <c r="LC111" s="39"/>
      <c r="LD111" s="39"/>
      <c r="LE111" s="39"/>
      <c r="LF111" s="39"/>
      <c r="LG111" s="39"/>
      <c r="LH111" s="39"/>
      <c r="LI111" s="39"/>
      <c r="LJ111" s="39"/>
      <c r="LK111" s="39"/>
      <c r="LL111" s="39"/>
      <c r="LM111" s="39"/>
      <c r="LN111" s="39"/>
      <c r="LO111" s="39"/>
      <c r="LP111" s="39"/>
      <c r="LQ111" s="39"/>
      <c r="LR111" s="39"/>
      <c r="LS111" s="39"/>
      <c r="LT111" s="39"/>
      <c r="LU111" s="39"/>
      <c r="LV111" s="39"/>
      <c r="LW111" s="39"/>
      <c r="LX111" s="39"/>
      <c r="LY111" s="39"/>
      <c r="LZ111" s="39"/>
      <c r="MA111" s="39"/>
      <c r="MB111" s="39"/>
      <c r="MC111" s="39"/>
      <c r="MD111" s="39"/>
      <c r="ME111" s="39"/>
      <c r="MF111" s="39"/>
      <c r="MG111" s="39"/>
      <c r="MH111" s="39"/>
      <c r="MI111" s="39"/>
      <c r="MJ111" s="39"/>
      <c r="MK111" s="39"/>
      <c r="ML111" s="39"/>
      <c r="MM111" s="39"/>
      <c r="MN111" s="39"/>
      <c r="MO111" s="39"/>
      <c r="MP111" s="39"/>
      <c r="MQ111" s="39"/>
      <c r="MR111" s="39"/>
      <c r="MS111" s="39"/>
      <c r="MT111" s="39"/>
      <c r="MU111" s="39"/>
      <c r="MV111" s="39"/>
      <c r="MW111" s="39"/>
      <c r="MX111" s="39"/>
      <c r="MY111" s="39"/>
      <c r="MZ111" s="39"/>
      <c r="NA111" s="39"/>
      <c r="NB111" s="39"/>
      <c r="NC111" s="39"/>
      <c r="ND111" s="39"/>
      <c r="NE111" s="39"/>
      <c r="NF111" s="39"/>
      <c r="NG111" s="39"/>
      <c r="NH111" s="39"/>
      <c r="NI111" s="39"/>
      <c r="NJ111" s="39"/>
      <c r="NK111" s="39"/>
      <c r="NL111" s="39"/>
      <c r="NM111" s="39"/>
      <c r="NN111" s="39"/>
      <c r="NO111" s="39"/>
      <c r="NP111" s="39"/>
      <c r="NQ111" s="39"/>
      <c r="NR111" s="39"/>
      <c r="NS111" s="39"/>
      <c r="NT111" s="39"/>
      <c r="NU111" s="39"/>
      <c r="NV111" s="39"/>
      <c r="NW111" s="39"/>
      <c r="NX111" s="39"/>
      <c r="NY111" s="39"/>
      <c r="NZ111" s="39"/>
      <c r="OA111" s="39"/>
      <c r="OB111" s="39"/>
      <c r="OC111" s="39"/>
      <c r="OD111" s="39"/>
      <c r="OE111" s="39"/>
      <c r="OF111" s="39"/>
      <c r="OG111" s="39"/>
      <c r="OH111" s="39"/>
      <c r="OI111" s="39"/>
      <c r="OJ111" s="39"/>
      <c r="OK111" s="39"/>
      <c r="OL111" s="39"/>
      <c r="OM111" s="39"/>
      <c r="ON111" s="39"/>
      <c r="OO111" s="39"/>
      <c r="OP111" s="39"/>
      <c r="OQ111" s="39"/>
      <c r="OR111" s="39"/>
      <c r="OS111" s="39"/>
      <c r="OT111" s="39"/>
      <c r="OU111" s="39"/>
      <c r="OV111" s="39"/>
      <c r="OW111" s="39"/>
      <c r="OX111" s="39"/>
      <c r="OY111" s="39"/>
      <c r="OZ111" s="39"/>
      <c r="PA111" s="39"/>
      <c r="PB111" s="39"/>
      <c r="PC111" s="39"/>
      <c r="PD111" s="39"/>
      <c r="PE111" s="39"/>
      <c r="PF111" s="39"/>
      <c r="PG111" s="39"/>
      <c r="PH111" s="39"/>
      <c r="PI111" s="39"/>
      <c r="PJ111" s="39"/>
      <c r="PK111" s="39"/>
      <c r="PL111" s="39"/>
      <c r="PM111" s="39"/>
      <c r="PN111" s="39"/>
      <c r="PO111" s="39"/>
      <c r="PP111" s="39"/>
      <c r="PQ111" s="39"/>
      <c r="PR111" s="39"/>
      <c r="PS111" s="39"/>
      <c r="PT111" s="39"/>
      <c r="PU111" s="39"/>
      <c r="PV111" s="39"/>
      <c r="PW111" s="39"/>
      <c r="PX111" s="39"/>
      <c r="PY111" s="39"/>
      <c r="PZ111" s="39"/>
      <c r="QA111" s="39"/>
      <c r="QB111" s="39"/>
      <c r="QC111" s="39"/>
      <c r="QD111" s="39"/>
      <c r="QE111" s="39"/>
      <c r="QF111" s="39"/>
      <c r="QG111" s="39"/>
      <c r="QH111" s="39"/>
      <c r="QI111" s="39"/>
      <c r="QJ111" s="39"/>
      <c r="QK111" s="39"/>
      <c r="QL111" s="39"/>
      <c r="QM111" s="39"/>
      <c r="QN111" s="39"/>
      <c r="QO111" s="39"/>
      <c r="QP111" s="39"/>
      <c r="QQ111" s="39"/>
      <c r="QR111" s="39"/>
      <c r="QS111" s="39"/>
      <c r="QT111" s="39"/>
      <c r="QU111" s="39"/>
      <c r="QV111" s="39"/>
      <c r="QW111" s="39"/>
      <c r="QX111" s="39"/>
      <c r="QY111" s="39"/>
      <c r="QZ111" s="39"/>
      <c r="RA111" s="39"/>
      <c r="RB111" s="39"/>
      <c r="RC111" s="39"/>
      <c r="RD111" s="39"/>
      <c r="RE111" s="39"/>
      <c r="RF111" s="39"/>
      <c r="RG111" s="39"/>
      <c r="RH111" s="39"/>
      <c r="RI111" s="39"/>
      <c r="RJ111" s="39"/>
      <c r="RK111" s="39"/>
      <c r="RL111" s="39"/>
      <c r="RM111" s="39"/>
      <c r="RN111" s="39"/>
      <c r="RO111" s="39"/>
      <c r="RP111" s="39"/>
      <c r="RQ111" s="39"/>
      <c r="RR111" s="39"/>
      <c r="RS111" s="39"/>
      <c r="RT111" s="39"/>
      <c r="RU111" s="39"/>
      <c r="RV111" s="39"/>
      <c r="RW111" s="39"/>
      <c r="RX111" s="39"/>
      <c r="RY111" s="39"/>
      <c r="RZ111" s="39"/>
      <c r="SA111" s="39"/>
      <c r="SB111" s="39"/>
      <c r="SC111" s="39"/>
      <c r="SD111" s="39"/>
      <c r="SE111" s="39"/>
      <c r="SF111" s="39"/>
      <c r="SG111" s="39"/>
      <c r="SH111" s="39"/>
      <c r="SI111" s="39"/>
      <c r="SJ111" s="39"/>
      <c r="SK111" s="39"/>
      <c r="SL111" s="39"/>
      <c r="SM111" s="39"/>
      <c r="SN111" s="39"/>
      <c r="SO111" s="39"/>
      <c r="SP111" s="39"/>
      <c r="SQ111" s="39"/>
      <c r="SR111" s="39"/>
      <c r="SS111" s="39"/>
      <c r="ST111" s="39"/>
      <c r="SU111" s="39"/>
      <c r="SV111" s="39"/>
      <c r="SW111" s="39"/>
      <c r="SX111" s="39"/>
      <c r="SY111" s="39"/>
      <c r="SZ111" s="39"/>
      <c r="TA111" s="39"/>
      <c r="TB111" s="39"/>
      <c r="TC111" s="39"/>
      <c r="TD111" s="39"/>
      <c r="TE111" s="39"/>
      <c r="TF111" s="39"/>
      <c r="TG111" s="39"/>
      <c r="TH111" s="39"/>
      <c r="TI111" s="39"/>
      <c r="TJ111" s="39"/>
      <c r="TK111" s="39"/>
      <c r="TL111" s="39"/>
      <c r="TM111" s="39"/>
      <c r="TN111" s="39"/>
      <c r="TO111" s="39"/>
      <c r="TP111" s="39"/>
      <c r="TQ111" s="39"/>
      <c r="TR111" s="39"/>
      <c r="TS111" s="39"/>
      <c r="TT111" s="39"/>
      <c r="TU111" s="39"/>
      <c r="TV111" s="39"/>
      <c r="TW111" s="39"/>
      <c r="TX111" s="39"/>
      <c r="TY111" s="39"/>
      <c r="TZ111" s="39"/>
      <c r="UA111" s="39"/>
      <c r="UB111" s="39"/>
      <c r="UC111" s="39"/>
      <c r="UD111" s="39"/>
      <c r="UE111" s="39"/>
      <c r="UF111" s="39"/>
      <c r="UG111" s="39"/>
      <c r="UH111" s="39"/>
      <c r="UI111" s="39"/>
      <c r="UJ111" s="39"/>
      <c r="UK111" s="39"/>
      <c r="UL111" s="39"/>
      <c r="UM111" s="39"/>
      <c r="UN111" s="39"/>
      <c r="UO111" s="39"/>
      <c r="UP111" s="39"/>
      <c r="UQ111" s="39"/>
      <c r="UR111" s="39"/>
      <c r="US111" s="39"/>
      <c r="UT111" s="39"/>
      <c r="UU111" s="39"/>
      <c r="UV111" s="39"/>
      <c r="UW111" s="39"/>
      <c r="UX111" s="39"/>
      <c r="UY111" s="39"/>
      <c r="UZ111" s="39"/>
      <c r="VA111" s="39"/>
      <c r="VB111" s="39"/>
      <c r="VC111" s="39"/>
      <c r="VD111" s="39"/>
      <c r="VE111" s="39"/>
      <c r="VF111" s="39"/>
      <c r="VG111" s="39"/>
      <c r="VH111" s="39"/>
      <c r="VI111" s="39"/>
      <c r="VJ111" s="39"/>
      <c r="VK111" s="39"/>
      <c r="VL111" s="39"/>
      <c r="VM111" s="39"/>
      <c r="VN111" s="39"/>
      <c r="VO111" s="39"/>
      <c r="VP111" s="39"/>
      <c r="VQ111" s="39"/>
      <c r="VR111" s="39"/>
      <c r="VS111" s="39"/>
      <c r="VT111" s="39"/>
      <c r="VU111" s="39"/>
      <c r="VV111" s="39"/>
      <c r="VW111" s="39"/>
      <c r="VX111" s="39"/>
      <c r="VY111" s="39"/>
      <c r="VZ111" s="39"/>
      <c r="WA111" s="39"/>
      <c r="WB111" s="39"/>
      <c r="WC111" s="39"/>
      <c r="WD111" s="39"/>
      <c r="WE111" s="39"/>
      <c r="WF111" s="39"/>
      <c r="WG111" s="39"/>
      <c r="WH111" s="39"/>
      <c r="WI111" s="39"/>
      <c r="WJ111" s="39"/>
      <c r="WK111" s="39"/>
      <c r="WL111" s="39"/>
      <c r="WM111" s="39"/>
      <c r="WN111" s="39"/>
      <c r="WO111" s="39"/>
      <c r="WP111" s="39"/>
      <c r="WQ111" s="39"/>
      <c r="WR111" s="39"/>
      <c r="WS111" s="39"/>
      <c r="WT111" s="39"/>
      <c r="WU111" s="39"/>
      <c r="WV111" s="39"/>
      <c r="WW111" s="39"/>
      <c r="WX111" s="39"/>
      <c r="WY111" s="39"/>
      <c r="WZ111" s="39"/>
      <c r="XA111" s="39"/>
      <c r="XB111" s="39"/>
      <c r="XC111" s="39"/>
      <c r="XD111" s="39"/>
      <c r="XE111" s="39"/>
      <c r="XF111" s="39"/>
      <c r="XG111" s="39"/>
      <c r="XH111" s="39"/>
      <c r="XI111" s="39"/>
      <c r="XJ111" s="39"/>
      <c r="XK111" s="39"/>
      <c r="XL111" s="39"/>
      <c r="XM111" s="39"/>
      <c r="XN111" s="39"/>
      <c r="XO111" s="39"/>
      <c r="XP111" s="39"/>
      <c r="XQ111" s="39"/>
      <c r="XR111" s="39"/>
      <c r="XS111" s="39"/>
      <c r="XT111" s="39"/>
      <c r="XU111" s="39"/>
      <c r="XV111" s="39"/>
      <c r="XW111" s="39"/>
      <c r="XX111" s="39"/>
      <c r="XY111" s="39"/>
      <c r="XZ111" s="39"/>
      <c r="YA111" s="39"/>
      <c r="YB111" s="39"/>
      <c r="YC111" s="39"/>
      <c r="YD111" s="39"/>
      <c r="YE111" s="39"/>
      <c r="YF111" s="39"/>
      <c r="YG111" s="39"/>
      <c r="YH111" s="39"/>
      <c r="YI111" s="39"/>
      <c r="YJ111" s="39"/>
      <c r="YK111" s="39"/>
      <c r="YL111" s="39"/>
      <c r="YM111" s="39"/>
      <c r="YN111" s="39"/>
      <c r="YO111" s="39"/>
      <c r="YP111" s="39"/>
      <c r="YQ111" s="39"/>
      <c r="YR111" s="39"/>
      <c r="YS111" s="39"/>
      <c r="YT111" s="39"/>
      <c r="YU111" s="39"/>
      <c r="YV111" s="39"/>
      <c r="YW111" s="39"/>
      <c r="YX111" s="39"/>
      <c r="YY111" s="39"/>
      <c r="YZ111" s="39"/>
      <c r="ZA111" s="39"/>
      <c r="ZB111" s="39"/>
      <c r="ZC111" s="39"/>
      <c r="ZD111" s="39"/>
      <c r="ZE111" s="39"/>
      <c r="ZF111" s="39"/>
      <c r="ZG111" s="39"/>
      <c r="ZH111" s="39"/>
      <c r="ZI111" s="39"/>
      <c r="ZJ111" s="39"/>
      <c r="ZK111" s="39"/>
      <c r="ZL111" s="39"/>
      <c r="ZM111" s="39"/>
      <c r="ZN111" s="39"/>
      <c r="ZO111" s="39"/>
      <c r="ZP111" s="39"/>
      <c r="ZQ111" s="39"/>
      <c r="ZR111" s="39"/>
      <c r="ZS111" s="39"/>
      <c r="ZT111" s="39"/>
      <c r="ZU111" s="39"/>
      <c r="ZV111" s="39"/>
      <c r="ZW111" s="39"/>
      <c r="ZX111" s="39"/>
      <c r="ZY111" s="39"/>
      <c r="ZZ111" s="39"/>
      <c r="AAA111" s="39"/>
      <c r="AAB111" s="39"/>
      <c r="AAC111" s="39"/>
      <c r="AAD111" s="39"/>
      <c r="AAE111" s="39"/>
      <c r="AAF111" s="39"/>
      <c r="AAG111" s="39"/>
      <c r="AAH111" s="39"/>
      <c r="AAI111" s="39"/>
      <c r="AAJ111" s="39"/>
      <c r="AAK111" s="39"/>
      <c r="AAL111" s="39"/>
      <c r="AAM111" s="39"/>
      <c r="AAN111" s="39"/>
      <c r="AAO111" s="39"/>
      <c r="AAP111" s="39"/>
      <c r="AAQ111" s="39"/>
      <c r="AAR111" s="39"/>
      <c r="AAS111" s="39"/>
      <c r="AAT111" s="39"/>
      <c r="AAU111" s="39"/>
      <c r="AAV111" s="39"/>
      <c r="AAW111" s="39"/>
      <c r="AAX111" s="39"/>
      <c r="AAY111" s="39"/>
      <c r="AAZ111" s="39"/>
      <c r="ABA111" s="39"/>
      <c r="ABB111" s="39"/>
      <c r="ABC111" s="39"/>
      <c r="ABD111" s="39"/>
      <c r="ABE111" s="39"/>
      <c r="ABF111" s="39"/>
      <c r="ABG111" s="39"/>
      <c r="ABH111" s="39"/>
      <c r="ABI111" s="39"/>
      <c r="ABJ111" s="39"/>
      <c r="ABK111" s="39"/>
      <c r="ABL111" s="39"/>
      <c r="ABM111" s="39"/>
      <c r="ABN111" s="39"/>
      <c r="ABO111" s="39"/>
      <c r="ABP111" s="39"/>
      <c r="ABQ111" s="39"/>
      <c r="ABR111" s="39"/>
      <c r="ABS111" s="39"/>
      <c r="ABT111" s="39"/>
      <c r="ABU111" s="39"/>
      <c r="ABV111" s="39"/>
      <c r="ABW111" s="39"/>
      <c r="ABX111" s="39"/>
      <c r="ABY111" s="39"/>
      <c r="ABZ111" s="39"/>
      <c r="ACA111" s="39"/>
      <c r="ACB111" s="39"/>
      <c r="ACC111" s="39"/>
      <c r="ACD111" s="39"/>
      <c r="ACE111" s="39"/>
      <c r="ACF111" s="39"/>
      <c r="ACG111" s="39"/>
      <c r="ACH111" s="39"/>
      <c r="ACI111" s="39"/>
      <c r="ACJ111" s="39"/>
      <c r="ACK111" s="39"/>
      <c r="ACL111" s="39"/>
      <c r="ACM111" s="39"/>
      <c r="ACN111" s="39"/>
      <c r="ACO111" s="39"/>
      <c r="ACP111" s="39"/>
      <c r="ACQ111" s="39"/>
      <c r="ACR111" s="39"/>
      <c r="ACS111" s="39"/>
      <c r="ACT111" s="39"/>
      <c r="ACU111" s="39"/>
      <c r="ACV111" s="39"/>
      <c r="ACW111" s="39"/>
      <c r="ACX111" s="39"/>
      <c r="ACY111" s="39"/>
      <c r="ACZ111" s="39"/>
      <c r="ADA111" s="39"/>
      <c r="ADB111" s="39"/>
      <c r="ADC111" s="39"/>
      <c r="ADD111" s="39"/>
      <c r="ADE111" s="39"/>
      <c r="ADF111" s="39"/>
      <c r="ADG111" s="39"/>
      <c r="ADH111" s="39"/>
      <c r="ADI111" s="39"/>
      <c r="ADJ111" s="39"/>
      <c r="ADK111" s="39"/>
      <c r="ADL111" s="39"/>
      <c r="ADM111" s="39"/>
      <c r="ADN111" s="39"/>
      <c r="ADO111" s="39"/>
      <c r="ADP111" s="39"/>
      <c r="ADQ111" s="39"/>
      <c r="ADR111" s="39"/>
      <c r="ADS111" s="39"/>
      <c r="ADT111" s="39"/>
      <c r="ADU111" s="39"/>
      <c r="ADV111" s="39"/>
      <c r="ADW111" s="39"/>
      <c r="ADX111" s="39"/>
      <c r="ADY111" s="39"/>
      <c r="ADZ111" s="39"/>
      <c r="AEA111" s="39"/>
      <c r="AEB111" s="39"/>
      <c r="AEC111" s="39"/>
      <c r="AED111" s="39"/>
      <c r="AEE111" s="39"/>
      <c r="AEF111" s="39"/>
      <c r="AEG111" s="39"/>
      <c r="AEH111" s="39"/>
      <c r="AEI111" s="39"/>
      <c r="AEJ111" s="39"/>
      <c r="AEK111" s="39"/>
      <c r="AEL111" s="39"/>
      <c r="AEM111" s="39"/>
      <c r="AEN111" s="39"/>
      <c r="AEO111" s="39"/>
      <c r="AEP111" s="39"/>
      <c r="AEQ111" s="39"/>
      <c r="AER111" s="39"/>
      <c r="AES111" s="39"/>
      <c r="AET111" s="39"/>
      <c r="AEU111" s="39"/>
      <c r="AEV111" s="39"/>
      <c r="AEW111" s="39"/>
      <c r="AEX111" s="39"/>
      <c r="AEY111" s="39"/>
      <c r="AEZ111" s="39"/>
      <c r="AFA111" s="39"/>
      <c r="AFB111" s="39"/>
      <c r="AFC111" s="39"/>
      <c r="AFD111" s="39"/>
      <c r="AFE111" s="39"/>
      <c r="AFF111" s="39"/>
      <c r="AFG111" s="39"/>
      <c r="AFH111" s="39"/>
      <c r="AFI111" s="39"/>
      <c r="AFJ111" s="39"/>
      <c r="AFK111" s="39"/>
      <c r="AFL111" s="39"/>
      <c r="AFM111" s="39"/>
      <c r="AFN111" s="39"/>
      <c r="AFO111" s="39"/>
      <c r="AFP111" s="39"/>
      <c r="AFQ111" s="39"/>
      <c r="AFR111" s="39"/>
      <c r="AFS111" s="39"/>
      <c r="AFT111" s="39"/>
      <c r="AFU111" s="39"/>
      <c r="AFV111" s="39"/>
      <c r="AFW111" s="39"/>
      <c r="AFX111" s="39"/>
      <c r="AFY111" s="39"/>
      <c r="AFZ111" s="39"/>
      <c r="AGA111" s="39"/>
      <c r="AGB111" s="39"/>
      <c r="AGC111" s="39"/>
      <c r="AGD111" s="39"/>
      <c r="AGE111" s="39"/>
      <c r="AGF111" s="39"/>
      <c r="AGG111" s="39"/>
      <c r="AGH111" s="39"/>
      <c r="AGI111" s="39"/>
      <c r="AGJ111" s="39"/>
      <c r="AGK111" s="39"/>
      <c r="AGL111" s="39"/>
      <c r="AGM111" s="39"/>
      <c r="AGN111" s="39"/>
      <c r="AGO111" s="39"/>
      <c r="AGP111" s="39"/>
      <c r="AGQ111" s="39"/>
      <c r="AGR111" s="39"/>
      <c r="AGS111" s="39"/>
      <c r="AGT111" s="39"/>
      <c r="AGU111" s="39"/>
      <c r="AGV111" s="39"/>
      <c r="AGW111" s="39"/>
      <c r="AGX111" s="39"/>
      <c r="AGY111" s="39"/>
      <c r="AGZ111" s="39"/>
      <c r="AHA111" s="39"/>
      <c r="AHB111" s="39"/>
      <c r="AHC111" s="39"/>
      <c r="AHD111" s="39"/>
      <c r="AHE111" s="39"/>
      <c r="AHF111" s="39"/>
      <c r="AHG111" s="39"/>
      <c r="AHH111" s="39"/>
      <c r="AHI111" s="39"/>
      <c r="AHJ111" s="39"/>
      <c r="AHK111" s="39"/>
      <c r="AHL111" s="39"/>
      <c r="AHM111" s="39"/>
      <c r="AHN111" s="39"/>
      <c r="AHO111" s="39"/>
      <c r="AHP111" s="39"/>
      <c r="AHQ111" s="39"/>
      <c r="AHR111" s="39"/>
      <c r="AHS111" s="39"/>
      <c r="AHT111" s="39"/>
      <c r="AHU111" s="39"/>
      <c r="AHV111" s="39"/>
      <c r="AHW111" s="39"/>
      <c r="AHX111" s="39"/>
      <c r="AHY111" s="39"/>
      <c r="AHZ111" s="39"/>
      <c r="AIA111" s="39"/>
      <c r="AIB111" s="39"/>
      <c r="AIC111" s="39"/>
      <c r="AID111" s="39"/>
      <c r="AIE111" s="39"/>
      <c r="AIF111" s="39"/>
      <c r="AIG111" s="39"/>
      <c r="AIH111" s="39"/>
      <c r="AII111" s="39"/>
      <c r="AIJ111" s="39"/>
      <c r="AIK111" s="39"/>
      <c r="AIL111" s="39"/>
      <c r="AIM111" s="39"/>
      <c r="AIN111" s="39"/>
      <c r="AIO111" s="39"/>
      <c r="AIP111" s="39"/>
      <c r="AIQ111" s="39"/>
      <c r="AIR111" s="39"/>
      <c r="AIS111" s="39"/>
      <c r="AIT111" s="39"/>
      <c r="AIU111" s="39"/>
      <c r="AIV111" s="39"/>
      <c r="AIW111" s="39"/>
      <c r="AIX111" s="39"/>
      <c r="AIY111" s="39"/>
      <c r="AIZ111" s="39"/>
      <c r="AJA111" s="39"/>
      <c r="AJB111" s="39"/>
      <c r="AJC111" s="39"/>
      <c r="AJD111" s="39"/>
      <c r="AJE111" s="39"/>
      <c r="AJF111" s="39"/>
      <c r="AJG111" s="39"/>
      <c r="AJH111" s="39"/>
      <c r="AJI111" s="39"/>
      <c r="AJJ111" s="39"/>
      <c r="AJK111" s="39"/>
      <c r="AJL111" s="39"/>
      <c r="AJM111" s="39"/>
      <c r="AJN111" s="39"/>
      <c r="AJO111" s="39"/>
      <c r="AJP111" s="39"/>
      <c r="AJQ111" s="39"/>
      <c r="AJR111" s="39"/>
      <c r="AJS111" s="39"/>
      <c r="AJT111" s="39"/>
      <c r="AJU111" s="39"/>
      <c r="AJV111" s="39"/>
      <c r="AJW111" s="39"/>
      <c r="AJX111" s="39"/>
      <c r="AJY111" s="39"/>
      <c r="AJZ111" s="39"/>
      <c r="AKA111" s="39"/>
      <c r="AKB111" s="39"/>
      <c r="AKC111" s="39"/>
      <c r="AKD111" s="39"/>
      <c r="AKE111" s="39"/>
      <c r="AKF111" s="39"/>
      <c r="AKG111" s="39"/>
      <c r="AKH111" s="39"/>
      <c r="AKI111" s="39"/>
      <c r="AKJ111" s="39"/>
      <c r="AKK111" s="39"/>
      <c r="AKL111" s="39"/>
      <c r="AKM111" s="39"/>
      <c r="AKN111" s="39"/>
      <c r="AKO111" s="39"/>
      <c r="AKP111" s="39"/>
      <c r="AKQ111" s="39"/>
      <c r="AKR111" s="39"/>
      <c r="AKS111" s="39"/>
      <c r="AKT111" s="39"/>
      <c r="AKU111" s="39"/>
      <c r="AKV111" s="39"/>
      <c r="AKW111" s="39"/>
      <c r="AKX111" s="39"/>
      <c r="AKY111" s="39"/>
      <c r="AKZ111" s="39"/>
      <c r="ALA111" s="39"/>
      <c r="ALB111" s="39"/>
      <c r="ALC111" s="39"/>
      <c r="ALD111" s="39"/>
      <c r="ALE111" s="39"/>
      <c r="ALF111" s="39"/>
      <c r="ALG111" s="39"/>
      <c r="ALH111" s="39"/>
      <c r="ALI111" s="39"/>
      <c r="ALJ111" s="39"/>
      <c r="ALK111" s="39"/>
      <c r="ALL111" s="39"/>
      <c r="ALM111" s="39"/>
      <c r="ALN111" s="39"/>
      <c r="ALO111" s="39"/>
      <c r="ALP111" s="39"/>
    </row>
    <row r="112" spans="1:1004" s="42" customFormat="1" ht="13.5">
      <c r="A112" s="903"/>
      <c r="B112" s="904"/>
      <c r="C112" s="930" t="s">
        <v>282</v>
      </c>
      <c r="D112" s="906"/>
      <c r="E112" s="908">
        <v>0</v>
      </c>
      <c r="F112" s="908">
        <v>5</v>
      </c>
      <c r="G112" s="908">
        <f>E112*F112</f>
        <v>0</v>
      </c>
      <c r="H112" s="933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  <c r="FU112" s="39"/>
      <c r="FV112" s="39"/>
      <c r="FW112" s="39"/>
      <c r="FX112" s="39"/>
      <c r="FY112" s="39"/>
      <c r="FZ112" s="39"/>
      <c r="GA112" s="39"/>
      <c r="GB112" s="39"/>
      <c r="GC112" s="39"/>
      <c r="GD112" s="39"/>
      <c r="GE112" s="39"/>
      <c r="GF112" s="39"/>
      <c r="GG112" s="39"/>
      <c r="GH112" s="39"/>
      <c r="GI112" s="39"/>
      <c r="GJ112" s="39"/>
      <c r="GK112" s="39"/>
      <c r="GL112" s="39"/>
      <c r="GM112" s="39"/>
      <c r="GN112" s="39"/>
      <c r="GO112" s="39"/>
      <c r="GP112" s="39"/>
      <c r="GQ112" s="39"/>
      <c r="GR112" s="39"/>
      <c r="GS112" s="39"/>
      <c r="GT112" s="39"/>
      <c r="GU112" s="39"/>
      <c r="GV112" s="39"/>
      <c r="GW112" s="39"/>
      <c r="GX112" s="39"/>
      <c r="GY112" s="39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39"/>
      <c r="HL112" s="39"/>
      <c r="HM112" s="39"/>
      <c r="HN112" s="39"/>
      <c r="HO112" s="39"/>
      <c r="HP112" s="39"/>
      <c r="HQ112" s="39"/>
      <c r="HR112" s="39"/>
      <c r="HS112" s="39"/>
      <c r="HT112" s="39"/>
      <c r="HU112" s="39"/>
      <c r="HV112" s="39"/>
      <c r="HW112" s="39"/>
      <c r="HX112" s="39"/>
      <c r="HY112" s="39"/>
      <c r="HZ112" s="39"/>
      <c r="IA112" s="39"/>
      <c r="IB112" s="39"/>
      <c r="IC112" s="39"/>
      <c r="ID112" s="39"/>
      <c r="IE112" s="39"/>
      <c r="IF112" s="39"/>
      <c r="IG112" s="39"/>
      <c r="IH112" s="39"/>
      <c r="II112" s="39"/>
      <c r="IJ112" s="39"/>
      <c r="IK112" s="39"/>
      <c r="IL112" s="39"/>
      <c r="IM112" s="39"/>
      <c r="IN112" s="39"/>
      <c r="IO112" s="39"/>
      <c r="IP112" s="39"/>
      <c r="IQ112" s="39"/>
      <c r="IR112" s="39"/>
      <c r="IS112" s="39"/>
      <c r="IT112" s="39"/>
      <c r="IU112" s="39"/>
      <c r="IV112" s="39"/>
      <c r="IW112" s="39"/>
      <c r="IX112" s="39"/>
      <c r="IY112" s="39"/>
      <c r="IZ112" s="39"/>
      <c r="JA112" s="39"/>
      <c r="JB112" s="39"/>
      <c r="JC112" s="39"/>
      <c r="JD112" s="39"/>
      <c r="JE112" s="39"/>
      <c r="JF112" s="39"/>
      <c r="JG112" s="39"/>
      <c r="JH112" s="39"/>
      <c r="JI112" s="39"/>
      <c r="JJ112" s="39"/>
      <c r="JK112" s="39"/>
      <c r="JL112" s="39"/>
      <c r="JM112" s="39"/>
      <c r="JN112" s="39"/>
      <c r="JO112" s="39"/>
      <c r="JP112" s="39"/>
      <c r="JQ112" s="39"/>
      <c r="JR112" s="39"/>
      <c r="JS112" s="39"/>
      <c r="JT112" s="39"/>
      <c r="JU112" s="39"/>
      <c r="JV112" s="39"/>
      <c r="JW112" s="39"/>
      <c r="JX112" s="39"/>
      <c r="JY112" s="39"/>
      <c r="JZ112" s="39"/>
      <c r="KA112" s="39"/>
      <c r="KB112" s="39"/>
      <c r="KC112" s="39"/>
      <c r="KD112" s="39"/>
      <c r="KE112" s="39"/>
      <c r="KF112" s="39"/>
      <c r="KG112" s="39"/>
      <c r="KH112" s="39"/>
      <c r="KI112" s="39"/>
      <c r="KJ112" s="39"/>
      <c r="KK112" s="39"/>
      <c r="KL112" s="39"/>
      <c r="KM112" s="39"/>
      <c r="KN112" s="39"/>
      <c r="KO112" s="39"/>
      <c r="KP112" s="39"/>
      <c r="KQ112" s="39"/>
      <c r="KR112" s="39"/>
      <c r="KS112" s="39"/>
      <c r="KT112" s="39"/>
      <c r="KU112" s="39"/>
      <c r="KV112" s="39"/>
      <c r="KW112" s="39"/>
      <c r="KX112" s="39"/>
      <c r="KY112" s="39"/>
      <c r="KZ112" s="39"/>
      <c r="LA112" s="39"/>
      <c r="LB112" s="39"/>
      <c r="LC112" s="39"/>
      <c r="LD112" s="39"/>
      <c r="LE112" s="39"/>
      <c r="LF112" s="39"/>
      <c r="LG112" s="39"/>
      <c r="LH112" s="39"/>
      <c r="LI112" s="39"/>
      <c r="LJ112" s="39"/>
      <c r="LK112" s="39"/>
      <c r="LL112" s="39"/>
      <c r="LM112" s="39"/>
      <c r="LN112" s="39"/>
      <c r="LO112" s="39"/>
      <c r="LP112" s="39"/>
      <c r="LQ112" s="39"/>
      <c r="LR112" s="39"/>
      <c r="LS112" s="39"/>
      <c r="LT112" s="39"/>
      <c r="LU112" s="39"/>
      <c r="LV112" s="39"/>
      <c r="LW112" s="39"/>
      <c r="LX112" s="39"/>
      <c r="LY112" s="39"/>
      <c r="LZ112" s="39"/>
      <c r="MA112" s="39"/>
      <c r="MB112" s="39"/>
      <c r="MC112" s="39"/>
      <c r="MD112" s="39"/>
      <c r="ME112" s="39"/>
      <c r="MF112" s="39"/>
      <c r="MG112" s="39"/>
      <c r="MH112" s="39"/>
      <c r="MI112" s="39"/>
      <c r="MJ112" s="39"/>
      <c r="MK112" s="39"/>
      <c r="ML112" s="39"/>
      <c r="MM112" s="39"/>
      <c r="MN112" s="39"/>
      <c r="MO112" s="39"/>
      <c r="MP112" s="39"/>
      <c r="MQ112" s="39"/>
      <c r="MR112" s="39"/>
      <c r="MS112" s="39"/>
      <c r="MT112" s="39"/>
      <c r="MU112" s="39"/>
      <c r="MV112" s="39"/>
      <c r="MW112" s="39"/>
      <c r="MX112" s="39"/>
      <c r="MY112" s="39"/>
      <c r="MZ112" s="39"/>
      <c r="NA112" s="39"/>
      <c r="NB112" s="39"/>
      <c r="NC112" s="39"/>
      <c r="ND112" s="39"/>
      <c r="NE112" s="39"/>
      <c r="NF112" s="39"/>
      <c r="NG112" s="39"/>
      <c r="NH112" s="39"/>
      <c r="NI112" s="39"/>
      <c r="NJ112" s="39"/>
      <c r="NK112" s="39"/>
      <c r="NL112" s="39"/>
      <c r="NM112" s="39"/>
      <c r="NN112" s="39"/>
      <c r="NO112" s="39"/>
      <c r="NP112" s="39"/>
      <c r="NQ112" s="39"/>
      <c r="NR112" s="39"/>
      <c r="NS112" s="39"/>
      <c r="NT112" s="39"/>
      <c r="NU112" s="39"/>
      <c r="NV112" s="39"/>
      <c r="NW112" s="39"/>
      <c r="NX112" s="39"/>
      <c r="NY112" s="39"/>
      <c r="NZ112" s="39"/>
      <c r="OA112" s="39"/>
      <c r="OB112" s="39"/>
      <c r="OC112" s="39"/>
      <c r="OD112" s="39"/>
      <c r="OE112" s="39"/>
      <c r="OF112" s="39"/>
      <c r="OG112" s="39"/>
      <c r="OH112" s="39"/>
      <c r="OI112" s="39"/>
      <c r="OJ112" s="39"/>
      <c r="OK112" s="39"/>
      <c r="OL112" s="39"/>
      <c r="OM112" s="39"/>
      <c r="ON112" s="39"/>
      <c r="OO112" s="39"/>
      <c r="OP112" s="39"/>
      <c r="OQ112" s="39"/>
      <c r="OR112" s="39"/>
      <c r="OS112" s="39"/>
      <c r="OT112" s="39"/>
      <c r="OU112" s="39"/>
      <c r="OV112" s="39"/>
      <c r="OW112" s="39"/>
      <c r="OX112" s="39"/>
      <c r="OY112" s="39"/>
      <c r="OZ112" s="39"/>
      <c r="PA112" s="39"/>
      <c r="PB112" s="39"/>
      <c r="PC112" s="39"/>
      <c r="PD112" s="39"/>
      <c r="PE112" s="39"/>
      <c r="PF112" s="39"/>
      <c r="PG112" s="39"/>
      <c r="PH112" s="39"/>
      <c r="PI112" s="39"/>
      <c r="PJ112" s="39"/>
      <c r="PK112" s="39"/>
      <c r="PL112" s="39"/>
      <c r="PM112" s="39"/>
      <c r="PN112" s="39"/>
      <c r="PO112" s="39"/>
      <c r="PP112" s="39"/>
      <c r="PQ112" s="39"/>
      <c r="PR112" s="39"/>
      <c r="PS112" s="39"/>
      <c r="PT112" s="39"/>
      <c r="PU112" s="39"/>
      <c r="PV112" s="39"/>
      <c r="PW112" s="39"/>
      <c r="PX112" s="39"/>
      <c r="PY112" s="39"/>
      <c r="PZ112" s="39"/>
      <c r="QA112" s="39"/>
      <c r="QB112" s="39"/>
      <c r="QC112" s="39"/>
      <c r="QD112" s="39"/>
      <c r="QE112" s="39"/>
      <c r="QF112" s="39"/>
      <c r="QG112" s="39"/>
      <c r="QH112" s="39"/>
      <c r="QI112" s="39"/>
      <c r="QJ112" s="39"/>
      <c r="QK112" s="39"/>
      <c r="QL112" s="39"/>
      <c r="QM112" s="39"/>
      <c r="QN112" s="39"/>
      <c r="QO112" s="39"/>
      <c r="QP112" s="39"/>
      <c r="QQ112" s="39"/>
      <c r="QR112" s="39"/>
      <c r="QS112" s="39"/>
      <c r="QT112" s="39"/>
      <c r="QU112" s="39"/>
      <c r="QV112" s="39"/>
      <c r="QW112" s="39"/>
      <c r="QX112" s="39"/>
      <c r="QY112" s="39"/>
      <c r="QZ112" s="39"/>
      <c r="RA112" s="39"/>
      <c r="RB112" s="39"/>
      <c r="RC112" s="39"/>
      <c r="RD112" s="39"/>
      <c r="RE112" s="39"/>
      <c r="RF112" s="39"/>
      <c r="RG112" s="39"/>
      <c r="RH112" s="39"/>
      <c r="RI112" s="39"/>
      <c r="RJ112" s="39"/>
      <c r="RK112" s="39"/>
      <c r="RL112" s="39"/>
      <c r="RM112" s="39"/>
      <c r="RN112" s="39"/>
      <c r="RO112" s="39"/>
      <c r="RP112" s="39"/>
      <c r="RQ112" s="39"/>
      <c r="RR112" s="39"/>
      <c r="RS112" s="39"/>
      <c r="RT112" s="39"/>
      <c r="RU112" s="39"/>
      <c r="RV112" s="39"/>
      <c r="RW112" s="39"/>
      <c r="RX112" s="39"/>
      <c r="RY112" s="39"/>
      <c r="RZ112" s="39"/>
      <c r="SA112" s="39"/>
      <c r="SB112" s="39"/>
      <c r="SC112" s="39"/>
      <c r="SD112" s="39"/>
      <c r="SE112" s="39"/>
      <c r="SF112" s="39"/>
      <c r="SG112" s="39"/>
      <c r="SH112" s="39"/>
      <c r="SI112" s="39"/>
      <c r="SJ112" s="39"/>
      <c r="SK112" s="39"/>
      <c r="SL112" s="39"/>
      <c r="SM112" s="39"/>
      <c r="SN112" s="39"/>
      <c r="SO112" s="39"/>
      <c r="SP112" s="39"/>
      <c r="SQ112" s="39"/>
      <c r="SR112" s="39"/>
      <c r="SS112" s="39"/>
      <c r="ST112" s="39"/>
      <c r="SU112" s="39"/>
      <c r="SV112" s="39"/>
      <c r="SW112" s="39"/>
      <c r="SX112" s="39"/>
      <c r="SY112" s="39"/>
      <c r="SZ112" s="39"/>
      <c r="TA112" s="39"/>
      <c r="TB112" s="39"/>
      <c r="TC112" s="39"/>
      <c r="TD112" s="39"/>
      <c r="TE112" s="39"/>
      <c r="TF112" s="39"/>
      <c r="TG112" s="39"/>
      <c r="TH112" s="39"/>
      <c r="TI112" s="39"/>
      <c r="TJ112" s="39"/>
      <c r="TK112" s="39"/>
      <c r="TL112" s="39"/>
      <c r="TM112" s="39"/>
      <c r="TN112" s="39"/>
      <c r="TO112" s="39"/>
      <c r="TP112" s="39"/>
      <c r="TQ112" s="39"/>
      <c r="TR112" s="39"/>
      <c r="TS112" s="39"/>
      <c r="TT112" s="39"/>
      <c r="TU112" s="39"/>
      <c r="TV112" s="39"/>
      <c r="TW112" s="39"/>
      <c r="TX112" s="39"/>
      <c r="TY112" s="39"/>
      <c r="TZ112" s="39"/>
      <c r="UA112" s="39"/>
      <c r="UB112" s="39"/>
      <c r="UC112" s="39"/>
      <c r="UD112" s="39"/>
      <c r="UE112" s="39"/>
      <c r="UF112" s="39"/>
      <c r="UG112" s="39"/>
      <c r="UH112" s="39"/>
      <c r="UI112" s="39"/>
      <c r="UJ112" s="39"/>
      <c r="UK112" s="39"/>
      <c r="UL112" s="39"/>
      <c r="UM112" s="39"/>
      <c r="UN112" s="39"/>
      <c r="UO112" s="39"/>
      <c r="UP112" s="39"/>
      <c r="UQ112" s="39"/>
      <c r="UR112" s="39"/>
      <c r="US112" s="39"/>
      <c r="UT112" s="39"/>
      <c r="UU112" s="39"/>
      <c r="UV112" s="39"/>
      <c r="UW112" s="39"/>
      <c r="UX112" s="39"/>
      <c r="UY112" s="39"/>
      <c r="UZ112" s="39"/>
      <c r="VA112" s="39"/>
      <c r="VB112" s="39"/>
      <c r="VC112" s="39"/>
      <c r="VD112" s="39"/>
      <c r="VE112" s="39"/>
      <c r="VF112" s="39"/>
      <c r="VG112" s="39"/>
      <c r="VH112" s="39"/>
      <c r="VI112" s="39"/>
      <c r="VJ112" s="39"/>
      <c r="VK112" s="39"/>
      <c r="VL112" s="39"/>
      <c r="VM112" s="39"/>
      <c r="VN112" s="39"/>
      <c r="VO112" s="39"/>
      <c r="VP112" s="39"/>
      <c r="VQ112" s="39"/>
      <c r="VR112" s="39"/>
      <c r="VS112" s="39"/>
      <c r="VT112" s="39"/>
      <c r="VU112" s="39"/>
      <c r="VV112" s="39"/>
      <c r="VW112" s="39"/>
      <c r="VX112" s="39"/>
      <c r="VY112" s="39"/>
      <c r="VZ112" s="39"/>
      <c r="WA112" s="39"/>
      <c r="WB112" s="39"/>
      <c r="WC112" s="39"/>
      <c r="WD112" s="39"/>
      <c r="WE112" s="39"/>
      <c r="WF112" s="39"/>
      <c r="WG112" s="39"/>
      <c r="WH112" s="39"/>
      <c r="WI112" s="39"/>
      <c r="WJ112" s="39"/>
      <c r="WK112" s="39"/>
      <c r="WL112" s="39"/>
      <c r="WM112" s="39"/>
      <c r="WN112" s="39"/>
      <c r="WO112" s="39"/>
      <c r="WP112" s="39"/>
      <c r="WQ112" s="39"/>
      <c r="WR112" s="39"/>
      <c r="WS112" s="39"/>
      <c r="WT112" s="39"/>
      <c r="WU112" s="39"/>
      <c r="WV112" s="39"/>
      <c r="WW112" s="39"/>
      <c r="WX112" s="39"/>
      <c r="WY112" s="39"/>
      <c r="WZ112" s="39"/>
      <c r="XA112" s="39"/>
      <c r="XB112" s="39"/>
      <c r="XC112" s="39"/>
      <c r="XD112" s="39"/>
      <c r="XE112" s="39"/>
      <c r="XF112" s="39"/>
      <c r="XG112" s="39"/>
      <c r="XH112" s="39"/>
      <c r="XI112" s="39"/>
      <c r="XJ112" s="39"/>
      <c r="XK112" s="39"/>
      <c r="XL112" s="39"/>
      <c r="XM112" s="39"/>
      <c r="XN112" s="39"/>
      <c r="XO112" s="39"/>
      <c r="XP112" s="39"/>
      <c r="XQ112" s="39"/>
      <c r="XR112" s="39"/>
      <c r="XS112" s="39"/>
      <c r="XT112" s="39"/>
      <c r="XU112" s="39"/>
      <c r="XV112" s="39"/>
      <c r="XW112" s="39"/>
      <c r="XX112" s="39"/>
      <c r="XY112" s="39"/>
      <c r="XZ112" s="39"/>
      <c r="YA112" s="39"/>
      <c r="YB112" s="39"/>
      <c r="YC112" s="39"/>
      <c r="YD112" s="39"/>
      <c r="YE112" s="39"/>
      <c r="YF112" s="39"/>
      <c r="YG112" s="39"/>
      <c r="YH112" s="39"/>
      <c r="YI112" s="39"/>
      <c r="YJ112" s="39"/>
      <c r="YK112" s="39"/>
      <c r="YL112" s="39"/>
      <c r="YM112" s="39"/>
      <c r="YN112" s="39"/>
      <c r="YO112" s="39"/>
      <c r="YP112" s="39"/>
      <c r="YQ112" s="39"/>
      <c r="YR112" s="39"/>
      <c r="YS112" s="39"/>
      <c r="YT112" s="39"/>
      <c r="YU112" s="39"/>
      <c r="YV112" s="39"/>
      <c r="YW112" s="39"/>
      <c r="YX112" s="39"/>
      <c r="YY112" s="39"/>
      <c r="YZ112" s="39"/>
      <c r="ZA112" s="39"/>
      <c r="ZB112" s="39"/>
      <c r="ZC112" s="39"/>
      <c r="ZD112" s="39"/>
      <c r="ZE112" s="39"/>
      <c r="ZF112" s="39"/>
      <c r="ZG112" s="39"/>
      <c r="ZH112" s="39"/>
      <c r="ZI112" s="39"/>
      <c r="ZJ112" s="39"/>
      <c r="ZK112" s="39"/>
      <c r="ZL112" s="39"/>
      <c r="ZM112" s="39"/>
      <c r="ZN112" s="39"/>
      <c r="ZO112" s="39"/>
      <c r="ZP112" s="39"/>
      <c r="ZQ112" s="39"/>
      <c r="ZR112" s="39"/>
      <c r="ZS112" s="39"/>
      <c r="ZT112" s="39"/>
      <c r="ZU112" s="39"/>
      <c r="ZV112" s="39"/>
      <c r="ZW112" s="39"/>
      <c r="ZX112" s="39"/>
      <c r="ZY112" s="39"/>
      <c r="ZZ112" s="39"/>
      <c r="AAA112" s="39"/>
      <c r="AAB112" s="39"/>
      <c r="AAC112" s="39"/>
      <c r="AAD112" s="39"/>
      <c r="AAE112" s="39"/>
      <c r="AAF112" s="39"/>
      <c r="AAG112" s="39"/>
      <c r="AAH112" s="39"/>
      <c r="AAI112" s="39"/>
      <c r="AAJ112" s="39"/>
      <c r="AAK112" s="39"/>
      <c r="AAL112" s="39"/>
      <c r="AAM112" s="39"/>
      <c r="AAN112" s="39"/>
      <c r="AAO112" s="39"/>
      <c r="AAP112" s="39"/>
      <c r="AAQ112" s="39"/>
      <c r="AAR112" s="39"/>
      <c r="AAS112" s="39"/>
      <c r="AAT112" s="39"/>
      <c r="AAU112" s="39"/>
      <c r="AAV112" s="39"/>
      <c r="AAW112" s="39"/>
      <c r="AAX112" s="39"/>
      <c r="AAY112" s="39"/>
      <c r="AAZ112" s="39"/>
      <c r="ABA112" s="39"/>
      <c r="ABB112" s="39"/>
      <c r="ABC112" s="39"/>
      <c r="ABD112" s="39"/>
      <c r="ABE112" s="39"/>
      <c r="ABF112" s="39"/>
      <c r="ABG112" s="39"/>
      <c r="ABH112" s="39"/>
      <c r="ABI112" s="39"/>
      <c r="ABJ112" s="39"/>
      <c r="ABK112" s="39"/>
      <c r="ABL112" s="39"/>
      <c r="ABM112" s="39"/>
      <c r="ABN112" s="39"/>
      <c r="ABO112" s="39"/>
      <c r="ABP112" s="39"/>
      <c r="ABQ112" s="39"/>
      <c r="ABR112" s="39"/>
      <c r="ABS112" s="39"/>
      <c r="ABT112" s="39"/>
      <c r="ABU112" s="39"/>
      <c r="ABV112" s="39"/>
      <c r="ABW112" s="39"/>
      <c r="ABX112" s="39"/>
      <c r="ABY112" s="39"/>
      <c r="ABZ112" s="39"/>
      <c r="ACA112" s="39"/>
      <c r="ACB112" s="39"/>
      <c r="ACC112" s="39"/>
      <c r="ACD112" s="39"/>
      <c r="ACE112" s="39"/>
      <c r="ACF112" s="39"/>
      <c r="ACG112" s="39"/>
      <c r="ACH112" s="39"/>
      <c r="ACI112" s="39"/>
      <c r="ACJ112" s="39"/>
      <c r="ACK112" s="39"/>
      <c r="ACL112" s="39"/>
      <c r="ACM112" s="39"/>
      <c r="ACN112" s="39"/>
      <c r="ACO112" s="39"/>
      <c r="ACP112" s="39"/>
      <c r="ACQ112" s="39"/>
      <c r="ACR112" s="39"/>
      <c r="ACS112" s="39"/>
      <c r="ACT112" s="39"/>
      <c r="ACU112" s="39"/>
      <c r="ACV112" s="39"/>
      <c r="ACW112" s="39"/>
      <c r="ACX112" s="39"/>
      <c r="ACY112" s="39"/>
      <c r="ACZ112" s="39"/>
      <c r="ADA112" s="39"/>
      <c r="ADB112" s="39"/>
      <c r="ADC112" s="39"/>
      <c r="ADD112" s="39"/>
      <c r="ADE112" s="39"/>
      <c r="ADF112" s="39"/>
      <c r="ADG112" s="39"/>
      <c r="ADH112" s="39"/>
      <c r="ADI112" s="39"/>
      <c r="ADJ112" s="39"/>
      <c r="ADK112" s="39"/>
      <c r="ADL112" s="39"/>
      <c r="ADM112" s="39"/>
      <c r="ADN112" s="39"/>
      <c r="ADO112" s="39"/>
      <c r="ADP112" s="39"/>
      <c r="ADQ112" s="39"/>
      <c r="ADR112" s="39"/>
      <c r="ADS112" s="39"/>
      <c r="ADT112" s="39"/>
      <c r="ADU112" s="39"/>
      <c r="ADV112" s="39"/>
      <c r="ADW112" s="39"/>
      <c r="ADX112" s="39"/>
      <c r="ADY112" s="39"/>
      <c r="ADZ112" s="39"/>
      <c r="AEA112" s="39"/>
      <c r="AEB112" s="39"/>
      <c r="AEC112" s="39"/>
      <c r="AED112" s="39"/>
      <c r="AEE112" s="39"/>
      <c r="AEF112" s="39"/>
      <c r="AEG112" s="39"/>
      <c r="AEH112" s="39"/>
      <c r="AEI112" s="39"/>
      <c r="AEJ112" s="39"/>
      <c r="AEK112" s="39"/>
      <c r="AEL112" s="39"/>
      <c r="AEM112" s="39"/>
      <c r="AEN112" s="39"/>
      <c r="AEO112" s="39"/>
      <c r="AEP112" s="39"/>
      <c r="AEQ112" s="39"/>
      <c r="AER112" s="39"/>
      <c r="AES112" s="39"/>
      <c r="AET112" s="39"/>
      <c r="AEU112" s="39"/>
      <c r="AEV112" s="39"/>
      <c r="AEW112" s="39"/>
      <c r="AEX112" s="39"/>
      <c r="AEY112" s="39"/>
      <c r="AEZ112" s="39"/>
      <c r="AFA112" s="39"/>
      <c r="AFB112" s="39"/>
      <c r="AFC112" s="39"/>
      <c r="AFD112" s="39"/>
      <c r="AFE112" s="39"/>
      <c r="AFF112" s="39"/>
      <c r="AFG112" s="39"/>
      <c r="AFH112" s="39"/>
      <c r="AFI112" s="39"/>
      <c r="AFJ112" s="39"/>
      <c r="AFK112" s="39"/>
      <c r="AFL112" s="39"/>
      <c r="AFM112" s="39"/>
      <c r="AFN112" s="39"/>
      <c r="AFO112" s="39"/>
      <c r="AFP112" s="39"/>
      <c r="AFQ112" s="39"/>
      <c r="AFR112" s="39"/>
      <c r="AFS112" s="39"/>
      <c r="AFT112" s="39"/>
      <c r="AFU112" s="39"/>
      <c r="AFV112" s="39"/>
      <c r="AFW112" s="39"/>
      <c r="AFX112" s="39"/>
      <c r="AFY112" s="39"/>
      <c r="AFZ112" s="39"/>
      <c r="AGA112" s="39"/>
      <c r="AGB112" s="39"/>
      <c r="AGC112" s="39"/>
      <c r="AGD112" s="39"/>
      <c r="AGE112" s="39"/>
      <c r="AGF112" s="39"/>
      <c r="AGG112" s="39"/>
      <c r="AGH112" s="39"/>
      <c r="AGI112" s="39"/>
      <c r="AGJ112" s="39"/>
      <c r="AGK112" s="39"/>
      <c r="AGL112" s="39"/>
      <c r="AGM112" s="39"/>
      <c r="AGN112" s="39"/>
      <c r="AGO112" s="39"/>
      <c r="AGP112" s="39"/>
      <c r="AGQ112" s="39"/>
      <c r="AGR112" s="39"/>
      <c r="AGS112" s="39"/>
      <c r="AGT112" s="39"/>
      <c r="AGU112" s="39"/>
      <c r="AGV112" s="39"/>
      <c r="AGW112" s="39"/>
      <c r="AGX112" s="39"/>
      <c r="AGY112" s="39"/>
      <c r="AGZ112" s="39"/>
      <c r="AHA112" s="39"/>
      <c r="AHB112" s="39"/>
      <c r="AHC112" s="39"/>
      <c r="AHD112" s="39"/>
      <c r="AHE112" s="39"/>
      <c r="AHF112" s="39"/>
      <c r="AHG112" s="39"/>
      <c r="AHH112" s="39"/>
      <c r="AHI112" s="39"/>
      <c r="AHJ112" s="39"/>
      <c r="AHK112" s="39"/>
      <c r="AHL112" s="39"/>
      <c r="AHM112" s="39"/>
      <c r="AHN112" s="39"/>
      <c r="AHO112" s="39"/>
      <c r="AHP112" s="39"/>
      <c r="AHQ112" s="39"/>
      <c r="AHR112" s="39"/>
      <c r="AHS112" s="39"/>
      <c r="AHT112" s="39"/>
      <c r="AHU112" s="39"/>
      <c r="AHV112" s="39"/>
      <c r="AHW112" s="39"/>
      <c r="AHX112" s="39"/>
      <c r="AHY112" s="39"/>
      <c r="AHZ112" s="39"/>
      <c r="AIA112" s="39"/>
      <c r="AIB112" s="39"/>
      <c r="AIC112" s="39"/>
      <c r="AID112" s="39"/>
      <c r="AIE112" s="39"/>
      <c r="AIF112" s="39"/>
      <c r="AIG112" s="39"/>
      <c r="AIH112" s="39"/>
      <c r="AII112" s="39"/>
      <c r="AIJ112" s="39"/>
      <c r="AIK112" s="39"/>
      <c r="AIL112" s="39"/>
      <c r="AIM112" s="39"/>
      <c r="AIN112" s="39"/>
      <c r="AIO112" s="39"/>
      <c r="AIP112" s="39"/>
      <c r="AIQ112" s="39"/>
      <c r="AIR112" s="39"/>
      <c r="AIS112" s="39"/>
      <c r="AIT112" s="39"/>
      <c r="AIU112" s="39"/>
      <c r="AIV112" s="39"/>
      <c r="AIW112" s="39"/>
      <c r="AIX112" s="39"/>
      <c r="AIY112" s="39"/>
      <c r="AIZ112" s="39"/>
      <c r="AJA112" s="39"/>
      <c r="AJB112" s="39"/>
      <c r="AJC112" s="39"/>
      <c r="AJD112" s="39"/>
      <c r="AJE112" s="39"/>
      <c r="AJF112" s="39"/>
      <c r="AJG112" s="39"/>
      <c r="AJH112" s="39"/>
      <c r="AJI112" s="39"/>
      <c r="AJJ112" s="39"/>
      <c r="AJK112" s="39"/>
      <c r="AJL112" s="39"/>
      <c r="AJM112" s="39"/>
      <c r="AJN112" s="39"/>
      <c r="AJO112" s="39"/>
      <c r="AJP112" s="39"/>
      <c r="AJQ112" s="39"/>
      <c r="AJR112" s="39"/>
      <c r="AJS112" s="39"/>
      <c r="AJT112" s="39"/>
      <c r="AJU112" s="39"/>
      <c r="AJV112" s="39"/>
      <c r="AJW112" s="39"/>
      <c r="AJX112" s="39"/>
      <c r="AJY112" s="39"/>
      <c r="AJZ112" s="39"/>
      <c r="AKA112" s="39"/>
      <c r="AKB112" s="39"/>
      <c r="AKC112" s="39"/>
      <c r="AKD112" s="39"/>
      <c r="AKE112" s="39"/>
      <c r="AKF112" s="39"/>
      <c r="AKG112" s="39"/>
      <c r="AKH112" s="39"/>
      <c r="AKI112" s="39"/>
      <c r="AKJ112" s="39"/>
      <c r="AKK112" s="39"/>
      <c r="AKL112" s="39"/>
      <c r="AKM112" s="39"/>
      <c r="AKN112" s="39"/>
      <c r="AKO112" s="39"/>
      <c r="AKP112" s="39"/>
      <c r="AKQ112" s="39"/>
      <c r="AKR112" s="39"/>
      <c r="AKS112" s="39"/>
      <c r="AKT112" s="39"/>
      <c r="AKU112" s="39"/>
      <c r="AKV112" s="39"/>
      <c r="AKW112" s="39"/>
      <c r="AKX112" s="39"/>
      <c r="AKY112" s="39"/>
      <c r="AKZ112" s="39"/>
      <c r="ALA112" s="39"/>
      <c r="ALB112" s="39"/>
      <c r="ALC112" s="39"/>
      <c r="ALD112" s="39"/>
      <c r="ALE112" s="39"/>
      <c r="ALF112" s="39"/>
      <c r="ALG112" s="39"/>
      <c r="ALH112" s="39"/>
      <c r="ALI112" s="39"/>
      <c r="ALJ112" s="39"/>
      <c r="ALK112" s="39"/>
      <c r="ALL112" s="39"/>
      <c r="ALM112" s="39"/>
      <c r="ALN112" s="39"/>
      <c r="ALO112" s="39"/>
      <c r="ALP112" s="39"/>
    </row>
    <row r="113" spans="1:1004" s="102" customFormat="1" ht="13.5">
      <c r="A113" s="903"/>
      <c r="B113" s="904"/>
      <c r="C113" s="930" t="s">
        <v>283</v>
      </c>
      <c r="D113" s="906"/>
      <c r="E113" s="908">
        <v>1</v>
      </c>
      <c r="F113" s="908">
        <v>5</v>
      </c>
      <c r="G113" s="908">
        <f>E113*F113</f>
        <v>5</v>
      </c>
      <c r="H113" s="933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  <c r="FU113" s="39"/>
      <c r="FV113" s="39"/>
      <c r="FW113" s="39"/>
      <c r="FX113" s="39"/>
      <c r="FY113" s="39"/>
      <c r="FZ113" s="39"/>
      <c r="GA113" s="39"/>
      <c r="GB113" s="39"/>
      <c r="GC113" s="39"/>
      <c r="GD113" s="39"/>
      <c r="GE113" s="39"/>
      <c r="GF113" s="39"/>
      <c r="GG113" s="39"/>
      <c r="GH113" s="39"/>
      <c r="GI113" s="39"/>
      <c r="GJ113" s="39"/>
      <c r="GK113" s="39"/>
      <c r="GL113" s="39"/>
      <c r="GM113" s="39"/>
      <c r="GN113" s="39"/>
      <c r="GO113" s="39"/>
      <c r="GP113" s="39"/>
      <c r="GQ113" s="39"/>
      <c r="GR113" s="39"/>
      <c r="GS113" s="39"/>
      <c r="GT113" s="39"/>
      <c r="GU113" s="39"/>
      <c r="GV113" s="39"/>
      <c r="GW113" s="39"/>
      <c r="GX113" s="39"/>
      <c r="GY113" s="39"/>
      <c r="GZ113" s="39"/>
      <c r="HA113" s="39"/>
      <c r="HB113" s="39"/>
      <c r="HC113" s="39"/>
      <c r="HD113" s="39"/>
      <c r="HE113" s="39"/>
      <c r="HF113" s="39"/>
      <c r="HG113" s="39"/>
      <c r="HH113" s="39"/>
      <c r="HI113" s="39"/>
      <c r="HJ113" s="39"/>
      <c r="HK113" s="39"/>
      <c r="HL113" s="39"/>
      <c r="HM113" s="39"/>
      <c r="HN113" s="39"/>
      <c r="HO113" s="39"/>
      <c r="HP113" s="39"/>
      <c r="HQ113" s="39"/>
      <c r="HR113" s="39"/>
      <c r="HS113" s="39"/>
      <c r="HT113" s="39"/>
      <c r="HU113" s="39"/>
      <c r="HV113" s="39"/>
      <c r="HW113" s="39"/>
      <c r="HX113" s="39"/>
      <c r="HY113" s="39"/>
      <c r="HZ113" s="39"/>
      <c r="IA113" s="39"/>
      <c r="IB113" s="39"/>
      <c r="IC113" s="39"/>
      <c r="ID113" s="39"/>
      <c r="IE113" s="39"/>
      <c r="IF113" s="39"/>
      <c r="IG113" s="39"/>
      <c r="IH113" s="39"/>
      <c r="II113" s="39"/>
      <c r="IJ113" s="39"/>
      <c r="IK113" s="39"/>
      <c r="IL113" s="39"/>
      <c r="IM113" s="39"/>
      <c r="IN113" s="39"/>
      <c r="IO113" s="39"/>
      <c r="IP113" s="39"/>
      <c r="IQ113" s="39"/>
      <c r="IR113" s="39"/>
      <c r="IS113" s="39"/>
      <c r="IT113" s="39"/>
      <c r="IU113" s="39"/>
      <c r="IV113" s="39"/>
      <c r="IW113" s="39"/>
      <c r="IX113" s="39"/>
      <c r="IY113" s="39"/>
      <c r="IZ113" s="39"/>
      <c r="JA113" s="39"/>
      <c r="JB113" s="39"/>
      <c r="JC113" s="39"/>
      <c r="JD113" s="39"/>
      <c r="JE113" s="39"/>
      <c r="JF113" s="39"/>
      <c r="JG113" s="39"/>
      <c r="JH113" s="39"/>
      <c r="JI113" s="39"/>
      <c r="JJ113" s="39"/>
      <c r="JK113" s="39"/>
      <c r="JL113" s="39"/>
      <c r="JM113" s="39"/>
      <c r="JN113" s="39"/>
      <c r="JO113" s="39"/>
      <c r="JP113" s="39"/>
      <c r="JQ113" s="39"/>
      <c r="JR113" s="39"/>
      <c r="JS113" s="39"/>
      <c r="JT113" s="39"/>
      <c r="JU113" s="39"/>
      <c r="JV113" s="39"/>
      <c r="JW113" s="39"/>
      <c r="JX113" s="39"/>
      <c r="JY113" s="39"/>
      <c r="JZ113" s="39"/>
      <c r="KA113" s="39"/>
      <c r="KB113" s="39"/>
      <c r="KC113" s="39"/>
      <c r="KD113" s="39"/>
      <c r="KE113" s="39"/>
      <c r="KF113" s="39"/>
      <c r="KG113" s="39"/>
      <c r="KH113" s="39"/>
      <c r="KI113" s="39"/>
      <c r="KJ113" s="39"/>
      <c r="KK113" s="39"/>
      <c r="KL113" s="39"/>
      <c r="KM113" s="39"/>
      <c r="KN113" s="39"/>
      <c r="KO113" s="39"/>
      <c r="KP113" s="39"/>
      <c r="KQ113" s="39"/>
      <c r="KR113" s="39"/>
      <c r="KS113" s="39"/>
      <c r="KT113" s="39"/>
      <c r="KU113" s="39"/>
      <c r="KV113" s="39"/>
      <c r="KW113" s="39"/>
      <c r="KX113" s="39"/>
      <c r="KY113" s="39"/>
      <c r="KZ113" s="39"/>
      <c r="LA113" s="39"/>
      <c r="LB113" s="39"/>
      <c r="LC113" s="39"/>
      <c r="LD113" s="39"/>
      <c r="LE113" s="39"/>
      <c r="LF113" s="39"/>
      <c r="LG113" s="39"/>
      <c r="LH113" s="39"/>
      <c r="LI113" s="39"/>
      <c r="LJ113" s="39"/>
      <c r="LK113" s="39"/>
      <c r="LL113" s="39"/>
      <c r="LM113" s="39"/>
      <c r="LN113" s="39"/>
      <c r="LO113" s="39"/>
      <c r="LP113" s="39"/>
      <c r="LQ113" s="39"/>
      <c r="LR113" s="39"/>
      <c r="LS113" s="39"/>
      <c r="LT113" s="39"/>
      <c r="LU113" s="39"/>
      <c r="LV113" s="39"/>
      <c r="LW113" s="39"/>
      <c r="LX113" s="39"/>
      <c r="LY113" s="39"/>
      <c r="LZ113" s="39"/>
      <c r="MA113" s="39"/>
      <c r="MB113" s="39"/>
      <c r="MC113" s="39"/>
      <c r="MD113" s="39"/>
      <c r="ME113" s="39"/>
      <c r="MF113" s="39"/>
      <c r="MG113" s="39"/>
      <c r="MH113" s="39"/>
      <c r="MI113" s="39"/>
      <c r="MJ113" s="39"/>
      <c r="MK113" s="39"/>
      <c r="ML113" s="39"/>
      <c r="MM113" s="39"/>
      <c r="MN113" s="39"/>
      <c r="MO113" s="39"/>
      <c r="MP113" s="39"/>
      <c r="MQ113" s="39"/>
      <c r="MR113" s="39"/>
      <c r="MS113" s="39"/>
      <c r="MT113" s="39"/>
      <c r="MU113" s="39"/>
      <c r="MV113" s="39"/>
      <c r="MW113" s="39"/>
      <c r="MX113" s="39"/>
      <c r="MY113" s="39"/>
      <c r="MZ113" s="39"/>
      <c r="NA113" s="39"/>
      <c r="NB113" s="39"/>
      <c r="NC113" s="39"/>
      <c r="ND113" s="39"/>
      <c r="NE113" s="39"/>
      <c r="NF113" s="39"/>
      <c r="NG113" s="39"/>
      <c r="NH113" s="39"/>
      <c r="NI113" s="39"/>
      <c r="NJ113" s="39"/>
      <c r="NK113" s="39"/>
      <c r="NL113" s="39"/>
      <c r="NM113" s="39"/>
      <c r="NN113" s="39"/>
      <c r="NO113" s="39"/>
      <c r="NP113" s="39"/>
      <c r="NQ113" s="39"/>
      <c r="NR113" s="39"/>
      <c r="NS113" s="39"/>
      <c r="NT113" s="39"/>
      <c r="NU113" s="39"/>
      <c r="NV113" s="39"/>
      <c r="NW113" s="39"/>
      <c r="NX113" s="39"/>
      <c r="NY113" s="39"/>
      <c r="NZ113" s="39"/>
      <c r="OA113" s="39"/>
      <c r="OB113" s="39"/>
      <c r="OC113" s="39"/>
      <c r="OD113" s="39"/>
      <c r="OE113" s="39"/>
      <c r="OF113" s="39"/>
      <c r="OG113" s="39"/>
      <c r="OH113" s="39"/>
      <c r="OI113" s="39"/>
      <c r="OJ113" s="39"/>
      <c r="OK113" s="39"/>
      <c r="OL113" s="39"/>
      <c r="OM113" s="39"/>
      <c r="ON113" s="39"/>
      <c r="OO113" s="39"/>
      <c r="OP113" s="39"/>
      <c r="OQ113" s="39"/>
      <c r="OR113" s="39"/>
      <c r="OS113" s="39"/>
      <c r="OT113" s="39"/>
      <c r="OU113" s="39"/>
      <c r="OV113" s="39"/>
      <c r="OW113" s="39"/>
      <c r="OX113" s="39"/>
      <c r="OY113" s="39"/>
      <c r="OZ113" s="39"/>
      <c r="PA113" s="39"/>
      <c r="PB113" s="39"/>
      <c r="PC113" s="39"/>
      <c r="PD113" s="39"/>
      <c r="PE113" s="39"/>
      <c r="PF113" s="39"/>
      <c r="PG113" s="39"/>
      <c r="PH113" s="39"/>
      <c r="PI113" s="39"/>
      <c r="PJ113" s="39"/>
      <c r="PK113" s="39"/>
      <c r="PL113" s="39"/>
      <c r="PM113" s="39"/>
      <c r="PN113" s="39"/>
      <c r="PO113" s="39"/>
      <c r="PP113" s="39"/>
      <c r="PQ113" s="39"/>
      <c r="PR113" s="39"/>
      <c r="PS113" s="39"/>
      <c r="PT113" s="39"/>
      <c r="PU113" s="39"/>
      <c r="PV113" s="39"/>
      <c r="PW113" s="39"/>
      <c r="PX113" s="39"/>
      <c r="PY113" s="39"/>
      <c r="PZ113" s="39"/>
      <c r="QA113" s="39"/>
      <c r="QB113" s="39"/>
      <c r="QC113" s="39"/>
      <c r="QD113" s="39"/>
      <c r="QE113" s="39"/>
      <c r="QF113" s="39"/>
      <c r="QG113" s="39"/>
      <c r="QH113" s="39"/>
      <c r="QI113" s="39"/>
      <c r="QJ113" s="39"/>
      <c r="QK113" s="39"/>
      <c r="QL113" s="39"/>
      <c r="QM113" s="39"/>
      <c r="QN113" s="39"/>
      <c r="QO113" s="39"/>
      <c r="QP113" s="39"/>
      <c r="QQ113" s="39"/>
      <c r="QR113" s="39"/>
      <c r="QS113" s="39"/>
      <c r="QT113" s="39"/>
      <c r="QU113" s="39"/>
      <c r="QV113" s="39"/>
      <c r="QW113" s="39"/>
      <c r="QX113" s="39"/>
      <c r="QY113" s="39"/>
      <c r="QZ113" s="39"/>
      <c r="RA113" s="39"/>
      <c r="RB113" s="39"/>
      <c r="RC113" s="39"/>
      <c r="RD113" s="39"/>
      <c r="RE113" s="39"/>
      <c r="RF113" s="39"/>
      <c r="RG113" s="39"/>
      <c r="RH113" s="39"/>
      <c r="RI113" s="39"/>
      <c r="RJ113" s="39"/>
      <c r="RK113" s="39"/>
      <c r="RL113" s="39"/>
      <c r="RM113" s="39"/>
      <c r="RN113" s="39"/>
      <c r="RO113" s="39"/>
      <c r="RP113" s="39"/>
      <c r="RQ113" s="39"/>
      <c r="RR113" s="39"/>
      <c r="RS113" s="39"/>
      <c r="RT113" s="39"/>
      <c r="RU113" s="39"/>
      <c r="RV113" s="39"/>
      <c r="RW113" s="39"/>
      <c r="RX113" s="39"/>
      <c r="RY113" s="39"/>
      <c r="RZ113" s="39"/>
      <c r="SA113" s="39"/>
      <c r="SB113" s="39"/>
      <c r="SC113" s="39"/>
      <c r="SD113" s="39"/>
      <c r="SE113" s="39"/>
      <c r="SF113" s="39"/>
      <c r="SG113" s="39"/>
      <c r="SH113" s="39"/>
      <c r="SI113" s="39"/>
      <c r="SJ113" s="39"/>
      <c r="SK113" s="39"/>
      <c r="SL113" s="39"/>
      <c r="SM113" s="39"/>
      <c r="SN113" s="39"/>
      <c r="SO113" s="39"/>
      <c r="SP113" s="39"/>
      <c r="SQ113" s="39"/>
      <c r="SR113" s="39"/>
      <c r="SS113" s="39"/>
      <c r="ST113" s="39"/>
      <c r="SU113" s="39"/>
      <c r="SV113" s="39"/>
      <c r="SW113" s="39"/>
      <c r="SX113" s="39"/>
      <c r="SY113" s="39"/>
      <c r="SZ113" s="39"/>
      <c r="TA113" s="39"/>
      <c r="TB113" s="39"/>
      <c r="TC113" s="39"/>
      <c r="TD113" s="39"/>
      <c r="TE113" s="39"/>
      <c r="TF113" s="39"/>
      <c r="TG113" s="39"/>
      <c r="TH113" s="39"/>
      <c r="TI113" s="39"/>
      <c r="TJ113" s="39"/>
      <c r="TK113" s="39"/>
      <c r="TL113" s="39"/>
      <c r="TM113" s="39"/>
      <c r="TN113" s="39"/>
      <c r="TO113" s="39"/>
      <c r="TP113" s="39"/>
      <c r="TQ113" s="39"/>
      <c r="TR113" s="39"/>
      <c r="TS113" s="39"/>
      <c r="TT113" s="39"/>
      <c r="TU113" s="39"/>
      <c r="TV113" s="39"/>
      <c r="TW113" s="39"/>
      <c r="TX113" s="39"/>
      <c r="TY113" s="39"/>
      <c r="TZ113" s="39"/>
      <c r="UA113" s="39"/>
      <c r="UB113" s="39"/>
      <c r="UC113" s="39"/>
      <c r="UD113" s="39"/>
      <c r="UE113" s="39"/>
      <c r="UF113" s="39"/>
      <c r="UG113" s="39"/>
      <c r="UH113" s="39"/>
      <c r="UI113" s="39"/>
      <c r="UJ113" s="39"/>
      <c r="UK113" s="39"/>
      <c r="UL113" s="39"/>
      <c r="UM113" s="39"/>
      <c r="UN113" s="39"/>
      <c r="UO113" s="39"/>
      <c r="UP113" s="39"/>
      <c r="UQ113" s="39"/>
      <c r="UR113" s="39"/>
      <c r="US113" s="39"/>
      <c r="UT113" s="39"/>
      <c r="UU113" s="39"/>
      <c r="UV113" s="39"/>
      <c r="UW113" s="39"/>
      <c r="UX113" s="39"/>
      <c r="UY113" s="39"/>
      <c r="UZ113" s="39"/>
      <c r="VA113" s="39"/>
      <c r="VB113" s="39"/>
      <c r="VC113" s="39"/>
      <c r="VD113" s="39"/>
      <c r="VE113" s="39"/>
      <c r="VF113" s="39"/>
      <c r="VG113" s="39"/>
      <c r="VH113" s="39"/>
      <c r="VI113" s="39"/>
      <c r="VJ113" s="39"/>
      <c r="VK113" s="39"/>
      <c r="VL113" s="39"/>
      <c r="VM113" s="39"/>
      <c r="VN113" s="39"/>
      <c r="VO113" s="39"/>
      <c r="VP113" s="39"/>
      <c r="VQ113" s="39"/>
      <c r="VR113" s="39"/>
      <c r="VS113" s="39"/>
      <c r="VT113" s="39"/>
      <c r="VU113" s="39"/>
      <c r="VV113" s="39"/>
      <c r="VW113" s="39"/>
      <c r="VX113" s="39"/>
      <c r="VY113" s="39"/>
      <c r="VZ113" s="39"/>
      <c r="WA113" s="39"/>
      <c r="WB113" s="39"/>
      <c r="WC113" s="39"/>
      <c r="WD113" s="39"/>
      <c r="WE113" s="39"/>
      <c r="WF113" s="39"/>
      <c r="WG113" s="39"/>
      <c r="WH113" s="39"/>
      <c r="WI113" s="39"/>
      <c r="WJ113" s="39"/>
      <c r="WK113" s="39"/>
      <c r="WL113" s="39"/>
      <c r="WM113" s="39"/>
      <c r="WN113" s="39"/>
      <c r="WO113" s="39"/>
      <c r="WP113" s="39"/>
      <c r="WQ113" s="39"/>
      <c r="WR113" s="39"/>
      <c r="WS113" s="39"/>
      <c r="WT113" s="39"/>
      <c r="WU113" s="39"/>
      <c r="WV113" s="39"/>
      <c r="WW113" s="39"/>
      <c r="WX113" s="39"/>
      <c r="WY113" s="39"/>
      <c r="WZ113" s="39"/>
      <c r="XA113" s="39"/>
      <c r="XB113" s="39"/>
      <c r="XC113" s="39"/>
      <c r="XD113" s="39"/>
      <c r="XE113" s="39"/>
      <c r="XF113" s="39"/>
      <c r="XG113" s="39"/>
      <c r="XH113" s="39"/>
      <c r="XI113" s="39"/>
      <c r="XJ113" s="39"/>
      <c r="XK113" s="39"/>
      <c r="XL113" s="39"/>
      <c r="XM113" s="39"/>
      <c r="XN113" s="39"/>
      <c r="XO113" s="39"/>
      <c r="XP113" s="39"/>
      <c r="XQ113" s="39"/>
      <c r="XR113" s="39"/>
      <c r="XS113" s="39"/>
      <c r="XT113" s="39"/>
      <c r="XU113" s="39"/>
      <c r="XV113" s="39"/>
      <c r="XW113" s="39"/>
      <c r="XX113" s="39"/>
      <c r="XY113" s="39"/>
      <c r="XZ113" s="39"/>
      <c r="YA113" s="39"/>
      <c r="YB113" s="39"/>
      <c r="YC113" s="39"/>
      <c r="YD113" s="39"/>
      <c r="YE113" s="39"/>
      <c r="YF113" s="39"/>
      <c r="YG113" s="39"/>
      <c r="YH113" s="39"/>
      <c r="YI113" s="39"/>
      <c r="YJ113" s="39"/>
      <c r="YK113" s="39"/>
      <c r="YL113" s="39"/>
      <c r="YM113" s="39"/>
      <c r="YN113" s="39"/>
      <c r="YO113" s="39"/>
      <c r="YP113" s="39"/>
      <c r="YQ113" s="39"/>
      <c r="YR113" s="39"/>
      <c r="YS113" s="39"/>
      <c r="YT113" s="39"/>
      <c r="YU113" s="39"/>
      <c r="YV113" s="39"/>
      <c r="YW113" s="39"/>
      <c r="YX113" s="39"/>
      <c r="YY113" s="39"/>
      <c r="YZ113" s="39"/>
      <c r="ZA113" s="39"/>
      <c r="ZB113" s="39"/>
      <c r="ZC113" s="39"/>
      <c r="ZD113" s="39"/>
      <c r="ZE113" s="39"/>
      <c r="ZF113" s="39"/>
      <c r="ZG113" s="39"/>
      <c r="ZH113" s="39"/>
      <c r="ZI113" s="39"/>
      <c r="ZJ113" s="39"/>
      <c r="ZK113" s="39"/>
      <c r="ZL113" s="39"/>
      <c r="ZM113" s="39"/>
      <c r="ZN113" s="39"/>
      <c r="ZO113" s="39"/>
      <c r="ZP113" s="39"/>
      <c r="ZQ113" s="39"/>
      <c r="ZR113" s="39"/>
      <c r="ZS113" s="39"/>
      <c r="ZT113" s="39"/>
      <c r="ZU113" s="39"/>
      <c r="ZV113" s="39"/>
      <c r="ZW113" s="39"/>
      <c r="ZX113" s="39"/>
      <c r="ZY113" s="39"/>
      <c r="ZZ113" s="39"/>
      <c r="AAA113" s="39"/>
      <c r="AAB113" s="39"/>
      <c r="AAC113" s="39"/>
      <c r="AAD113" s="39"/>
      <c r="AAE113" s="39"/>
      <c r="AAF113" s="39"/>
      <c r="AAG113" s="39"/>
      <c r="AAH113" s="39"/>
      <c r="AAI113" s="39"/>
      <c r="AAJ113" s="39"/>
      <c r="AAK113" s="39"/>
      <c r="AAL113" s="39"/>
      <c r="AAM113" s="39"/>
      <c r="AAN113" s="39"/>
      <c r="AAO113" s="39"/>
      <c r="AAP113" s="39"/>
      <c r="AAQ113" s="39"/>
      <c r="AAR113" s="39"/>
      <c r="AAS113" s="39"/>
      <c r="AAT113" s="39"/>
      <c r="AAU113" s="39"/>
      <c r="AAV113" s="39"/>
      <c r="AAW113" s="39"/>
      <c r="AAX113" s="39"/>
      <c r="AAY113" s="39"/>
      <c r="AAZ113" s="39"/>
      <c r="ABA113" s="39"/>
      <c r="ABB113" s="39"/>
      <c r="ABC113" s="39"/>
      <c r="ABD113" s="39"/>
      <c r="ABE113" s="39"/>
      <c r="ABF113" s="39"/>
      <c r="ABG113" s="39"/>
      <c r="ABH113" s="39"/>
      <c r="ABI113" s="39"/>
      <c r="ABJ113" s="39"/>
      <c r="ABK113" s="39"/>
      <c r="ABL113" s="39"/>
      <c r="ABM113" s="39"/>
      <c r="ABN113" s="39"/>
      <c r="ABO113" s="39"/>
      <c r="ABP113" s="39"/>
      <c r="ABQ113" s="39"/>
      <c r="ABR113" s="39"/>
      <c r="ABS113" s="39"/>
      <c r="ABT113" s="39"/>
      <c r="ABU113" s="39"/>
      <c r="ABV113" s="39"/>
      <c r="ABW113" s="39"/>
      <c r="ABX113" s="39"/>
      <c r="ABY113" s="39"/>
      <c r="ABZ113" s="39"/>
      <c r="ACA113" s="39"/>
      <c r="ACB113" s="39"/>
      <c r="ACC113" s="39"/>
      <c r="ACD113" s="39"/>
      <c r="ACE113" s="39"/>
      <c r="ACF113" s="39"/>
      <c r="ACG113" s="39"/>
      <c r="ACH113" s="39"/>
      <c r="ACI113" s="39"/>
      <c r="ACJ113" s="39"/>
      <c r="ACK113" s="39"/>
      <c r="ACL113" s="39"/>
      <c r="ACM113" s="39"/>
      <c r="ACN113" s="39"/>
      <c r="ACO113" s="39"/>
      <c r="ACP113" s="39"/>
      <c r="ACQ113" s="39"/>
      <c r="ACR113" s="39"/>
      <c r="ACS113" s="39"/>
      <c r="ACT113" s="39"/>
      <c r="ACU113" s="39"/>
      <c r="ACV113" s="39"/>
      <c r="ACW113" s="39"/>
      <c r="ACX113" s="39"/>
      <c r="ACY113" s="39"/>
      <c r="ACZ113" s="39"/>
      <c r="ADA113" s="39"/>
      <c r="ADB113" s="39"/>
      <c r="ADC113" s="39"/>
      <c r="ADD113" s="39"/>
      <c r="ADE113" s="39"/>
      <c r="ADF113" s="39"/>
      <c r="ADG113" s="39"/>
      <c r="ADH113" s="39"/>
      <c r="ADI113" s="39"/>
      <c r="ADJ113" s="39"/>
      <c r="ADK113" s="39"/>
      <c r="ADL113" s="39"/>
      <c r="ADM113" s="39"/>
      <c r="ADN113" s="39"/>
      <c r="ADO113" s="39"/>
      <c r="ADP113" s="39"/>
      <c r="ADQ113" s="39"/>
      <c r="ADR113" s="39"/>
      <c r="ADS113" s="39"/>
      <c r="ADT113" s="39"/>
      <c r="ADU113" s="39"/>
      <c r="ADV113" s="39"/>
      <c r="ADW113" s="39"/>
      <c r="ADX113" s="39"/>
      <c r="ADY113" s="39"/>
      <c r="ADZ113" s="39"/>
      <c r="AEA113" s="39"/>
      <c r="AEB113" s="39"/>
      <c r="AEC113" s="39"/>
      <c r="AED113" s="39"/>
      <c r="AEE113" s="39"/>
      <c r="AEF113" s="39"/>
      <c r="AEG113" s="39"/>
      <c r="AEH113" s="39"/>
      <c r="AEI113" s="39"/>
      <c r="AEJ113" s="39"/>
      <c r="AEK113" s="39"/>
      <c r="AEL113" s="39"/>
      <c r="AEM113" s="39"/>
      <c r="AEN113" s="39"/>
      <c r="AEO113" s="39"/>
      <c r="AEP113" s="39"/>
      <c r="AEQ113" s="39"/>
      <c r="AER113" s="39"/>
      <c r="AES113" s="39"/>
      <c r="AET113" s="39"/>
      <c r="AEU113" s="39"/>
      <c r="AEV113" s="39"/>
      <c r="AEW113" s="39"/>
      <c r="AEX113" s="39"/>
      <c r="AEY113" s="39"/>
      <c r="AEZ113" s="39"/>
      <c r="AFA113" s="39"/>
      <c r="AFB113" s="39"/>
      <c r="AFC113" s="39"/>
      <c r="AFD113" s="39"/>
      <c r="AFE113" s="39"/>
      <c r="AFF113" s="39"/>
      <c r="AFG113" s="39"/>
      <c r="AFH113" s="39"/>
      <c r="AFI113" s="39"/>
      <c r="AFJ113" s="39"/>
      <c r="AFK113" s="39"/>
      <c r="AFL113" s="39"/>
      <c r="AFM113" s="39"/>
      <c r="AFN113" s="39"/>
      <c r="AFO113" s="39"/>
      <c r="AFP113" s="39"/>
      <c r="AFQ113" s="39"/>
      <c r="AFR113" s="39"/>
      <c r="AFS113" s="39"/>
      <c r="AFT113" s="39"/>
      <c r="AFU113" s="39"/>
      <c r="AFV113" s="39"/>
      <c r="AFW113" s="39"/>
      <c r="AFX113" s="39"/>
      <c r="AFY113" s="39"/>
      <c r="AFZ113" s="39"/>
      <c r="AGA113" s="39"/>
      <c r="AGB113" s="39"/>
      <c r="AGC113" s="39"/>
      <c r="AGD113" s="39"/>
      <c r="AGE113" s="39"/>
      <c r="AGF113" s="39"/>
      <c r="AGG113" s="39"/>
      <c r="AGH113" s="39"/>
      <c r="AGI113" s="39"/>
      <c r="AGJ113" s="39"/>
      <c r="AGK113" s="39"/>
      <c r="AGL113" s="39"/>
      <c r="AGM113" s="39"/>
      <c r="AGN113" s="39"/>
      <c r="AGO113" s="39"/>
      <c r="AGP113" s="39"/>
      <c r="AGQ113" s="39"/>
      <c r="AGR113" s="39"/>
      <c r="AGS113" s="39"/>
      <c r="AGT113" s="39"/>
      <c r="AGU113" s="39"/>
      <c r="AGV113" s="39"/>
      <c r="AGW113" s="39"/>
      <c r="AGX113" s="39"/>
      <c r="AGY113" s="39"/>
      <c r="AGZ113" s="39"/>
      <c r="AHA113" s="39"/>
      <c r="AHB113" s="39"/>
      <c r="AHC113" s="39"/>
      <c r="AHD113" s="39"/>
      <c r="AHE113" s="39"/>
      <c r="AHF113" s="39"/>
      <c r="AHG113" s="39"/>
      <c r="AHH113" s="39"/>
      <c r="AHI113" s="39"/>
      <c r="AHJ113" s="39"/>
      <c r="AHK113" s="39"/>
      <c r="AHL113" s="39"/>
      <c r="AHM113" s="39"/>
      <c r="AHN113" s="39"/>
      <c r="AHO113" s="39"/>
      <c r="AHP113" s="39"/>
      <c r="AHQ113" s="39"/>
      <c r="AHR113" s="39"/>
      <c r="AHS113" s="39"/>
      <c r="AHT113" s="39"/>
      <c r="AHU113" s="39"/>
      <c r="AHV113" s="39"/>
      <c r="AHW113" s="39"/>
      <c r="AHX113" s="39"/>
      <c r="AHY113" s="39"/>
      <c r="AHZ113" s="39"/>
      <c r="AIA113" s="39"/>
      <c r="AIB113" s="39"/>
      <c r="AIC113" s="39"/>
      <c r="AID113" s="39"/>
      <c r="AIE113" s="39"/>
      <c r="AIF113" s="39"/>
      <c r="AIG113" s="39"/>
      <c r="AIH113" s="39"/>
      <c r="AII113" s="39"/>
      <c r="AIJ113" s="39"/>
      <c r="AIK113" s="39"/>
      <c r="AIL113" s="39"/>
      <c r="AIM113" s="39"/>
      <c r="AIN113" s="39"/>
      <c r="AIO113" s="39"/>
      <c r="AIP113" s="39"/>
      <c r="AIQ113" s="39"/>
      <c r="AIR113" s="39"/>
      <c r="AIS113" s="39"/>
      <c r="AIT113" s="39"/>
      <c r="AIU113" s="39"/>
      <c r="AIV113" s="39"/>
      <c r="AIW113" s="39"/>
      <c r="AIX113" s="39"/>
      <c r="AIY113" s="39"/>
      <c r="AIZ113" s="39"/>
      <c r="AJA113" s="39"/>
      <c r="AJB113" s="39"/>
      <c r="AJC113" s="39"/>
      <c r="AJD113" s="39"/>
      <c r="AJE113" s="39"/>
      <c r="AJF113" s="39"/>
      <c r="AJG113" s="39"/>
      <c r="AJH113" s="39"/>
      <c r="AJI113" s="39"/>
      <c r="AJJ113" s="39"/>
      <c r="AJK113" s="39"/>
      <c r="AJL113" s="39"/>
      <c r="AJM113" s="39"/>
      <c r="AJN113" s="39"/>
      <c r="AJO113" s="39"/>
      <c r="AJP113" s="39"/>
      <c r="AJQ113" s="39"/>
      <c r="AJR113" s="39"/>
      <c r="AJS113" s="39"/>
      <c r="AJT113" s="39"/>
      <c r="AJU113" s="39"/>
      <c r="AJV113" s="39"/>
      <c r="AJW113" s="39"/>
      <c r="AJX113" s="39"/>
      <c r="AJY113" s="39"/>
      <c r="AJZ113" s="39"/>
      <c r="AKA113" s="39"/>
      <c r="AKB113" s="39"/>
      <c r="AKC113" s="39"/>
      <c r="AKD113" s="39"/>
      <c r="AKE113" s="39"/>
      <c r="AKF113" s="39"/>
      <c r="AKG113" s="39"/>
      <c r="AKH113" s="39"/>
      <c r="AKI113" s="39"/>
      <c r="AKJ113" s="39"/>
      <c r="AKK113" s="39"/>
      <c r="AKL113" s="39"/>
      <c r="AKM113" s="39"/>
      <c r="AKN113" s="39"/>
      <c r="AKO113" s="39"/>
      <c r="AKP113" s="39"/>
      <c r="AKQ113" s="39"/>
      <c r="AKR113" s="39"/>
      <c r="AKS113" s="39"/>
      <c r="AKT113" s="39"/>
      <c r="AKU113" s="39"/>
      <c r="AKV113" s="39"/>
      <c r="AKW113" s="39"/>
      <c r="AKX113" s="39"/>
      <c r="AKY113" s="39"/>
      <c r="AKZ113" s="39"/>
      <c r="ALA113" s="39"/>
      <c r="ALB113" s="39"/>
      <c r="ALC113" s="39"/>
      <c r="ALD113" s="39"/>
      <c r="ALE113" s="39"/>
      <c r="ALF113" s="39"/>
      <c r="ALG113" s="39"/>
      <c r="ALH113" s="39"/>
      <c r="ALI113" s="39"/>
      <c r="ALJ113" s="39"/>
      <c r="ALK113" s="39"/>
      <c r="ALL113" s="39"/>
      <c r="ALM113" s="39"/>
      <c r="ALN113" s="39"/>
      <c r="ALO113" s="39"/>
      <c r="ALP113" s="39"/>
    </row>
    <row r="114" spans="1:1004" s="102" customFormat="1" ht="13.5">
      <c r="A114" s="903"/>
      <c r="B114" s="904"/>
      <c r="C114" s="930" t="s">
        <v>304</v>
      </c>
      <c r="D114" s="906"/>
      <c r="E114" s="908">
        <v>1</v>
      </c>
      <c r="F114" s="908">
        <v>24</v>
      </c>
      <c r="G114" s="908">
        <f>E114*F114</f>
        <v>24</v>
      </c>
      <c r="H114" s="933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  <c r="IW114" s="39"/>
      <c r="IX114" s="39"/>
      <c r="IY114" s="39"/>
      <c r="IZ114" s="39"/>
      <c r="JA114" s="39"/>
      <c r="JB114" s="39"/>
      <c r="JC114" s="39"/>
      <c r="JD114" s="39"/>
      <c r="JE114" s="39"/>
      <c r="JF114" s="39"/>
      <c r="JG114" s="39"/>
      <c r="JH114" s="39"/>
      <c r="JI114" s="39"/>
      <c r="JJ114" s="39"/>
      <c r="JK114" s="39"/>
      <c r="JL114" s="39"/>
      <c r="JM114" s="39"/>
      <c r="JN114" s="39"/>
      <c r="JO114" s="39"/>
      <c r="JP114" s="39"/>
      <c r="JQ114" s="39"/>
      <c r="JR114" s="39"/>
      <c r="JS114" s="39"/>
      <c r="JT114" s="39"/>
      <c r="JU114" s="39"/>
      <c r="JV114" s="39"/>
      <c r="JW114" s="39"/>
      <c r="JX114" s="39"/>
      <c r="JY114" s="39"/>
      <c r="JZ114" s="39"/>
      <c r="KA114" s="39"/>
      <c r="KB114" s="39"/>
      <c r="KC114" s="39"/>
      <c r="KD114" s="39"/>
      <c r="KE114" s="39"/>
      <c r="KF114" s="39"/>
      <c r="KG114" s="39"/>
      <c r="KH114" s="39"/>
      <c r="KI114" s="39"/>
      <c r="KJ114" s="39"/>
      <c r="KK114" s="39"/>
      <c r="KL114" s="39"/>
      <c r="KM114" s="39"/>
      <c r="KN114" s="39"/>
      <c r="KO114" s="39"/>
      <c r="KP114" s="39"/>
      <c r="KQ114" s="39"/>
      <c r="KR114" s="39"/>
      <c r="KS114" s="39"/>
      <c r="KT114" s="39"/>
      <c r="KU114" s="39"/>
      <c r="KV114" s="39"/>
      <c r="KW114" s="39"/>
      <c r="KX114" s="39"/>
      <c r="KY114" s="39"/>
      <c r="KZ114" s="39"/>
      <c r="LA114" s="39"/>
      <c r="LB114" s="39"/>
      <c r="LC114" s="39"/>
      <c r="LD114" s="39"/>
      <c r="LE114" s="39"/>
      <c r="LF114" s="39"/>
      <c r="LG114" s="39"/>
      <c r="LH114" s="39"/>
      <c r="LI114" s="39"/>
      <c r="LJ114" s="39"/>
      <c r="LK114" s="39"/>
      <c r="LL114" s="39"/>
      <c r="LM114" s="39"/>
      <c r="LN114" s="39"/>
      <c r="LO114" s="39"/>
      <c r="LP114" s="39"/>
      <c r="LQ114" s="39"/>
      <c r="LR114" s="39"/>
      <c r="LS114" s="39"/>
      <c r="LT114" s="39"/>
      <c r="LU114" s="39"/>
      <c r="LV114" s="39"/>
      <c r="LW114" s="39"/>
      <c r="LX114" s="39"/>
      <c r="LY114" s="39"/>
      <c r="LZ114" s="39"/>
      <c r="MA114" s="39"/>
      <c r="MB114" s="39"/>
      <c r="MC114" s="39"/>
      <c r="MD114" s="39"/>
      <c r="ME114" s="39"/>
      <c r="MF114" s="39"/>
      <c r="MG114" s="39"/>
      <c r="MH114" s="39"/>
      <c r="MI114" s="39"/>
      <c r="MJ114" s="39"/>
      <c r="MK114" s="39"/>
      <c r="ML114" s="39"/>
      <c r="MM114" s="39"/>
      <c r="MN114" s="39"/>
      <c r="MO114" s="39"/>
      <c r="MP114" s="39"/>
      <c r="MQ114" s="39"/>
      <c r="MR114" s="39"/>
      <c r="MS114" s="39"/>
      <c r="MT114" s="39"/>
      <c r="MU114" s="39"/>
      <c r="MV114" s="39"/>
      <c r="MW114" s="39"/>
      <c r="MX114" s="39"/>
      <c r="MY114" s="39"/>
      <c r="MZ114" s="39"/>
      <c r="NA114" s="39"/>
      <c r="NB114" s="39"/>
      <c r="NC114" s="39"/>
      <c r="ND114" s="39"/>
      <c r="NE114" s="39"/>
      <c r="NF114" s="39"/>
      <c r="NG114" s="39"/>
      <c r="NH114" s="39"/>
      <c r="NI114" s="39"/>
      <c r="NJ114" s="39"/>
      <c r="NK114" s="39"/>
      <c r="NL114" s="39"/>
      <c r="NM114" s="39"/>
      <c r="NN114" s="39"/>
      <c r="NO114" s="39"/>
      <c r="NP114" s="39"/>
      <c r="NQ114" s="39"/>
      <c r="NR114" s="39"/>
      <c r="NS114" s="39"/>
      <c r="NT114" s="39"/>
      <c r="NU114" s="39"/>
      <c r="NV114" s="39"/>
      <c r="NW114" s="39"/>
      <c r="NX114" s="39"/>
      <c r="NY114" s="39"/>
      <c r="NZ114" s="39"/>
      <c r="OA114" s="39"/>
      <c r="OB114" s="39"/>
      <c r="OC114" s="39"/>
      <c r="OD114" s="39"/>
      <c r="OE114" s="39"/>
      <c r="OF114" s="39"/>
      <c r="OG114" s="39"/>
      <c r="OH114" s="39"/>
      <c r="OI114" s="39"/>
      <c r="OJ114" s="39"/>
      <c r="OK114" s="39"/>
      <c r="OL114" s="39"/>
      <c r="OM114" s="39"/>
      <c r="ON114" s="39"/>
      <c r="OO114" s="39"/>
      <c r="OP114" s="39"/>
      <c r="OQ114" s="39"/>
      <c r="OR114" s="39"/>
      <c r="OS114" s="39"/>
      <c r="OT114" s="39"/>
      <c r="OU114" s="39"/>
      <c r="OV114" s="39"/>
      <c r="OW114" s="39"/>
      <c r="OX114" s="39"/>
      <c r="OY114" s="39"/>
      <c r="OZ114" s="39"/>
      <c r="PA114" s="39"/>
      <c r="PB114" s="39"/>
      <c r="PC114" s="39"/>
      <c r="PD114" s="39"/>
      <c r="PE114" s="39"/>
      <c r="PF114" s="39"/>
      <c r="PG114" s="39"/>
      <c r="PH114" s="39"/>
      <c r="PI114" s="39"/>
      <c r="PJ114" s="39"/>
      <c r="PK114" s="39"/>
      <c r="PL114" s="39"/>
      <c r="PM114" s="39"/>
      <c r="PN114" s="39"/>
      <c r="PO114" s="39"/>
      <c r="PP114" s="39"/>
      <c r="PQ114" s="39"/>
      <c r="PR114" s="39"/>
      <c r="PS114" s="39"/>
      <c r="PT114" s="39"/>
      <c r="PU114" s="39"/>
      <c r="PV114" s="39"/>
      <c r="PW114" s="39"/>
      <c r="PX114" s="39"/>
      <c r="PY114" s="39"/>
      <c r="PZ114" s="39"/>
      <c r="QA114" s="39"/>
      <c r="QB114" s="39"/>
      <c r="QC114" s="39"/>
      <c r="QD114" s="39"/>
      <c r="QE114" s="39"/>
      <c r="QF114" s="39"/>
      <c r="QG114" s="39"/>
      <c r="QH114" s="39"/>
      <c r="QI114" s="39"/>
      <c r="QJ114" s="39"/>
      <c r="QK114" s="39"/>
      <c r="QL114" s="39"/>
      <c r="QM114" s="39"/>
      <c r="QN114" s="39"/>
      <c r="QO114" s="39"/>
      <c r="QP114" s="39"/>
      <c r="QQ114" s="39"/>
      <c r="QR114" s="39"/>
      <c r="QS114" s="39"/>
      <c r="QT114" s="39"/>
      <c r="QU114" s="39"/>
      <c r="QV114" s="39"/>
      <c r="QW114" s="39"/>
      <c r="QX114" s="39"/>
      <c r="QY114" s="39"/>
      <c r="QZ114" s="39"/>
      <c r="RA114" s="39"/>
      <c r="RB114" s="39"/>
      <c r="RC114" s="39"/>
      <c r="RD114" s="39"/>
      <c r="RE114" s="39"/>
      <c r="RF114" s="39"/>
      <c r="RG114" s="39"/>
      <c r="RH114" s="39"/>
      <c r="RI114" s="39"/>
      <c r="RJ114" s="39"/>
      <c r="RK114" s="39"/>
      <c r="RL114" s="39"/>
      <c r="RM114" s="39"/>
      <c r="RN114" s="39"/>
      <c r="RO114" s="39"/>
      <c r="RP114" s="39"/>
      <c r="RQ114" s="39"/>
      <c r="RR114" s="39"/>
      <c r="RS114" s="39"/>
      <c r="RT114" s="39"/>
      <c r="RU114" s="39"/>
      <c r="RV114" s="39"/>
      <c r="RW114" s="39"/>
      <c r="RX114" s="39"/>
      <c r="RY114" s="39"/>
      <c r="RZ114" s="39"/>
      <c r="SA114" s="39"/>
      <c r="SB114" s="39"/>
      <c r="SC114" s="39"/>
      <c r="SD114" s="39"/>
      <c r="SE114" s="39"/>
      <c r="SF114" s="39"/>
      <c r="SG114" s="39"/>
      <c r="SH114" s="39"/>
      <c r="SI114" s="39"/>
      <c r="SJ114" s="39"/>
      <c r="SK114" s="39"/>
      <c r="SL114" s="39"/>
      <c r="SM114" s="39"/>
      <c r="SN114" s="39"/>
      <c r="SO114" s="39"/>
      <c r="SP114" s="39"/>
      <c r="SQ114" s="39"/>
      <c r="SR114" s="39"/>
      <c r="SS114" s="39"/>
      <c r="ST114" s="39"/>
      <c r="SU114" s="39"/>
      <c r="SV114" s="39"/>
      <c r="SW114" s="39"/>
      <c r="SX114" s="39"/>
      <c r="SY114" s="39"/>
      <c r="SZ114" s="39"/>
      <c r="TA114" s="39"/>
      <c r="TB114" s="39"/>
      <c r="TC114" s="39"/>
      <c r="TD114" s="39"/>
      <c r="TE114" s="39"/>
      <c r="TF114" s="39"/>
      <c r="TG114" s="39"/>
      <c r="TH114" s="39"/>
      <c r="TI114" s="39"/>
      <c r="TJ114" s="39"/>
      <c r="TK114" s="39"/>
      <c r="TL114" s="39"/>
      <c r="TM114" s="39"/>
      <c r="TN114" s="39"/>
      <c r="TO114" s="39"/>
      <c r="TP114" s="39"/>
      <c r="TQ114" s="39"/>
      <c r="TR114" s="39"/>
      <c r="TS114" s="39"/>
      <c r="TT114" s="39"/>
      <c r="TU114" s="39"/>
      <c r="TV114" s="39"/>
      <c r="TW114" s="39"/>
      <c r="TX114" s="39"/>
      <c r="TY114" s="39"/>
      <c r="TZ114" s="39"/>
      <c r="UA114" s="39"/>
      <c r="UB114" s="39"/>
      <c r="UC114" s="39"/>
      <c r="UD114" s="39"/>
      <c r="UE114" s="39"/>
      <c r="UF114" s="39"/>
      <c r="UG114" s="39"/>
      <c r="UH114" s="39"/>
      <c r="UI114" s="39"/>
      <c r="UJ114" s="39"/>
      <c r="UK114" s="39"/>
      <c r="UL114" s="39"/>
      <c r="UM114" s="39"/>
      <c r="UN114" s="39"/>
      <c r="UO114" s="39"/>
      <c r="UP114" s="39"/>
      <c r="UQ114" s="39"/>
      <c r="UR114" s="39"/>
      <c r="US114" s="39"/>
      <c r="UT114" s="39"/>
      <c r="UU114" s="39"/>
      <c r="UV114" s="39"/>
      <c r="UW114" s="39"/>
      <c r="UX114" s="39"/>
      <c r="UY114" s="39"/>
      <c r="UZ114" s="39"/>
      <c r="VA114" s="39"/>
      <c r="VB114" s="39"/>
      <c r="VC114" s="39"/>
      <c r="VD114" s="39"/>
      <c r="VE114" s="39"/>
      <c r="VF114" s="39"/>
      <c r="VG114" s="39"/>
      <c r="VH114" s="39"/>
      <c r="VI114" s="39"/>
      <c r="VJ114" s="39"/>
      <c r="VK114" s="39"/>
      <c r="VL114" s="39"/>
      <c r="VM114" s="39"/>
      <c r="VN114" s="39"/>
      <c r="VO114" s="39"/>
      <c r="VP114" s="39"/>
      <c r="VQ114" s="39"/>
      <c r="VR114" s="39"/>
      <c r="VS114" s="39"/>
      <c r="VT114" s="39"/>
      <c r="VU114" s="39"/>
      <c r="VV114" s="39"/>
      <c r="VW114" s="39"/>
      <c r="VX114" s="39"/>
      <c r="VY114" s="39"/>
      <c r="VZ114" s="39"/>
      <c r="WA114" s="39"/>
      <c r="WB114" s="39"/>
      <c r="WC114" s="39"/>
      <c r="WD114" s="39"/>
      <c r="WE114" s="39"/>
      <c r="WF114" s="39"/>
      <c r="WG114" s="39"/>
      <c r="WH114" s="39"/>
      <c r="WI114" s="39"/>
      <c r="WJ114" s="39"/>
      <c r="WK114" s="39"/>
      <c r="WL114" s="39"/>
      <c r="WM114" s="39"/>
      <c r="WN114" s="39"/>
      <c r="WO114" s="39"/>
      <c r="WP114" s="39"/>
      <c r="WQ114" s="39"/>
      <c r="WR114" s="39"/>
      <c r="WS114" s="39"/>
      <c r="WT114" s="39"/>
      <c r="WU114" s="39"/>
      <c r="WV114" s="39"/>
      <c r="WW114" s="39"/>
      <c r="WX114" s="39"/>
      <c r="WY114" s="39"/>
      <c r="WZ114" s="39"/>
      <c r="XA114" s="39"/>
      <c r="XB114" s="39"/>
      <c r="XC114" s="39"/>
      <c r="XD114" s="39"/>
      <c r="XE114" s="39"/>
      <c r="XF114" s="39"/>
      <c r="XG114" s="39"/>
      <c r="XH114" s="39"/>
      <c r="XI114" s="39"/>
      <c r="XJ114" s="39"/>
      <c r="XK114" s="39"/>
      <c r="XL114" s="39"/>
      <c r="XM114" s="39"/>
      <c r="XN114" s="39"/>
      <c r="XO114" s="39"/>
      <c r="XP114" s="39"/>
      <c r="XQ114" s="39"/>
      <c r="XR114" s="39"/>
      <c r="XS114" s="39"/>
      <c r="XT114" s="39"/>
      <c r="XU114" s="39"/>
      <c r="XV114" s="39"/>
      <c r="XW114" s="39"/>
      <c r="XX114" s="39"/>
      <c r="XY114" s="39"/>
      <c r="XZ114" s="39"/>
      <c r="YA114" s="39"/>
      <c r="YB114" s="39"/>
      <c r="YC114" s="39"/>
      <c r="YD114" s="39"/>
      <c r="YE114" s="39"/>
      <c r="YF114" s="39"/>
      <c r="YG114" s="39"/>
      <c r="YH114" s="39"/>
      <c r="YI114" s="39"/>
      <c r="YJ114" s="39"/>
      <c r="YK114" s="39"/>
      <c r="YL114" s="39"/>
      <c r="YM114" s="39"/>
      <c r="YN114" s="39"/>
      <c r="YO114" s="39"/>
      <c r="YP114" s="39"/>
      <c r="YQ114" s="39"/>
      <c r="YR114" s="39"/>
      <c r="YS114" s="39"/>
      <c r="YT114" s="39"/>
      <c r="YU114" s="39"/>
      <c r="YV114" s="39"/>
      <c r="YW114" s="39"/>
      <c r="YX114" s="39"/>
      <c r="YY114" s="39"/>
      <c r="YZ114" s="39"/>
      <c r="ZA114" s="39"/>
      <c r="ZB114" s="39"/>
      <c r="ZC114" s="39"/>
      <c r="ZD114" s="39"/>
      <c r="ZE114" s="39"/>
      <c r="ZF114" s="39"/>
      <c r="ZG114" s="39"/>
      <c r="ZH114" s="39"/>
      <c r="ZI114" s="39"/>
      <c r="ZJ114" s="39"/>
      <c r="ZK114" s="39"/>
      <c r="ZL114" s="39"/>
      <c r="ZM114" s="39"/>
      <c r="ZN114" s="39"/>
      <c r="ZO114" s="39"/>
      <c r="ZP114" s="39"/>
      <c r="ZQ114" s="39"/>
      <c r="ZR114" s="39"/>
      <c r="ZS114" s="39"/>
      <c r="ZT114" s="39"/>
      <c r="ZU114" s="39"/>
      <c r="ZV114" s="39"/>
      <c r="ZW114" s="39"/>
      <c r="ZX114" s="39"/>
      <c r="ZY114" s="39"/>
      <c r="ZZ114" s="39"/>
      <c r="AAA114" s="39"/>
      <c r="AAB114" s="39"/>
      <c r="AAC114" s="39"/>
      <c r="AAD114" s="39"/>
      <c r="AAE114" s="39"/>
      <c r="AAF114" s="39"/>
      <c r="AAG114" s="39"/>
      <c r="AAH114" s="39"/>
      <c r="AAI114" s="39"/>
      <c r="AAJ114" s="39"/>
      <c r="AAK114" s="39"/>
      <c r="AAL114" s="39"/>
      <c r="AAM114" s="39"/>
      <c r="AAN114" s="39"/>
      <c r="AAO114" s="39"/>
      <c r="AAP114" s="39"/>
      <c r="AAQ114" s="39"/>
      <c r="AAR114" s="39"/>
      <c r="AAS114" s="39"/>
      <c r="AAT114" s="39"/>
      <c r="AAU114" s="39"/>
      <c r="AAV114" s="39"/>
      <c r="AAW114" s="39"/>
      <c r="AAX114" s="39"/>
      <c r="AAY114" s="39"/>
      <c r="AAZ114" s="39"/>
      <c r="ABA114" s="39"/>
      <c r="ABB114" s="39"/>
      <c r="ABC114" s="39"/>
      <c r="ABD114" s="39"/>
      <c r="ABE114" s="39"/>
      <c r="ABF114" s="39"/>
      <c r="ABG114" s="39"/>
      <c r="ABH114" s="39"/>
      <c r="ABI114" s="39"/>
      <c r="ABJ114" s="39"/>
      <c r="ABK114" s="39"/>
      <c r="ABL114" s="39"/>
      <c r="ABM114" s="39"/>
      <c r="ABN114" s="39"/>
      <c r="ABO114" s="39"/>
      <c r="ABP114" s="39"/>
      <c r="ABQ114" s="39"/>
      <c r="ABR114" s="39"/>
      <c r="ABS114" s="39"/>
      <c r="ABT114" s="39"/>
      <c r="ABU114" s="39"/>
      <c r="ABV114" s="39"/>
      <c r="ABW114" s="39"/>
      <c r="ABX114" s="39"/>
      <c r="ABY114" s="39"/>
      <c r="ABZ114" s="39"/>
      <c r="ACA114" s="39"/>
      <c r="ACB114" s="39"/>
      <c r="ACC114" s="39"/>
      <c r="ACD114" s="39"/>
      <c r="ACE114" s="39"/>
      <c r="ACF114" s="39"/>
      <c r="ACG114" s="39"/>
      <c r="ACH114" s="39"/>
      <c r="ACI114" s="39"/>
      <c r="ACJ114" s="39"/>
      <c r="ACK114" s="39"/>
      <c r="ACL114" s="39"/>
      <c r="ACM114" s="39"/>
      <c r="ACN114" s="39"/>
      <c r="ACO114" s="39"/>
      <c r="ACP114" s="39"/>
      <c r="ACQ114" s="39"/>
      <c r="ACR114" s="39"/>
      <c r="ACS114" s="39"/>
      <c r="ACT114" s="39"/>
      <c r="ACU114" s="39"/>
      <c r="ACV114" s="39"/>
      <c r="ACW114" s="39"/>
      <c r="ACX114" s="39"/>
      <c r="ACY114" s="39"/>
      <c r="ACZ114" s="39"/>
      <c r="ADA114" s="39"/>
      <c r="ADB114" s="39"/>
      <c r="ADC114" s="39"/>
      <c r="ADD114" s="39"/>
      <c r="ADE114" s="39"/>
      <c r="ADF114" s="39"/>
      <c r="ADG114" s="39"/>
      <c r="ADH114" s="39"/>
      <c r="ADI114" s="39"/>
      <c r="ADJ114" s="39"/>
      <c r="ADK114" s="39"/>
      <c r="ADL114" s="39"/>
      <c r="ADM114" s="39"/>
      <c r="ADN114" s="39"/>
      <c r="ADO114" s="39"/>
      <c r="ADP114" s="39"/>
      <c r="ADQ114" s="39"/>
      <c r="ADR114" s="39"/>
      <c r="ADS114" s="39"/>
      <c r="ADT114" s="39"/>
      <c r="ADU114" s="39"/>
      <c r="ADV114" s="39"/>
      <c r="ADW114" s="39"/>
      <c r="ADX114" s="39"/>
      <c r="ADY114" s="39"/>
      <c r="ADZ114" s="39"/>
      <c r="AEA114" s="39"/>
      <c r="AEB114" s="39"/>
      <c r="AEC114" s="39"/>
      <c r="AED114" s="39"/>
      <c r="AEE114" s="39"/>
      <c r="AEF114" s="39"/>
      <c r="AEG114" s="39"/>
      <c r="AEH114" s="39"/>
      <c r="AEI114" s="39"/>
      <c r="AEJ114" s="39"/>
      <c r="AEK114" s="39"/>
      <c r="AEL114" s="39"/>
      <c r="AEM114" s="39"/>
      <c r="AEN114" s="39"/>
      <c r="AEO114" s="39"/>
      <c r="AEP114" s="39"/>
      <c r="AEQ114" s="39"/>
      <c r="AER114" s="39"/>
      <c r="AES114" s="39"/>
      <c r="AET114" s="39"/>
      <c r="AEU114" s="39"/>
      <c r="AEV114" s="39"/>
      <c r="AEW114" s="39"/>
      <c r="AEX114" s="39"/>
      <c r="AEY114" s="39"/>
      <c r="AEZ114" s="39"/>
      <c r="AFA114" s="39"/>
      <c r="AFB114" s="39"/>
      <c r="AFC114" s="39"/>
      <c r="AFD114" s="39"/>
      <c r="AFE114" s="39"/>
      <c r="AFF114" s="39"/>
      <c r="AFG114" s="39"/>
      <c r="AFH114" s="39"/>
      <c r="AFI114" s="39"/>
      <c r="AFJ114" s="39"/>
      <c r="AFK114" s="39"/>
      <c r="AFL114" s="39"/>
      <c r="AFM114" s="39"/>
      <c r="AFN114" s="39"/>
      <c r="AFO114" s="39"/>
      <c r="AFP114" s="39"/>
      <c r="AFQ114" s="39"/>
      <c r="AFR114" s="39"/>
      <c r="AFS114" s="39"/>
      <c r="AFT114" s="39"/>
      <c r="AFU114" s="39"/>
      <c r="AFV114" s="39"/>
      <c r="AFW114" s="39"/>
      <c r="AFX114" s="39"/>
      <c r="AFY114" s="39"/>
      <c r="AFZ114" s="39"/>
      <c r="AGA114" s="39"/>
      <c r="AGB114" s="39"/>
      <c r="AGC114" s="39"/>
      <c r="AGD114" s="39"/>
      <c r="AGE114" s="39"/>
      <c r="AGF114" s="39"/>
      <c r="AGG114" s="39"/>
      <c r="AGH114" s="39"/>
      <c r="AGI114" s="39"/>
      <c r="AGJ114" s="39"/>
      <c r="AGK114" s="39"/>
      <c r="AGL114" s="39"/>
      <c r="AGM114" s="39"/>
      <c r="AGN114" s="39"/>
      <c r="AGO114" s="39"/>
      <c r="AGP114" s="39"/>
      <c r="AGQ114" s="39"/>
      <c r="AGR114" s="39"/>
      <c r="AGS114" s="39"/>
      <c r="AGT114" s="39"/>
      <c r="AGU114" s="39"/>
      <c r="AGV114" s="39"/>
      <c r="AGW114" s="39"/>
      <c r="AGX114" s="39"/>
      <c r="AGY114" s="39"/>
      <c r="AGZ114" s="39"/>
      <c r="AHA114" s="39"/>
      <c r="AHB114" s="39"/>
      <c r="AHC114" s="39"/>
      <c r="AHD114" s="39"/>
      <c r="AHE114" s="39"/>
      <c r="AHF114" s="39"/>
      <c r="AHG114" s="39"/>
      <c r="AHH114" s="39"/>
      <c r="AHI114" s="39"/>
      <c r="AHJ114" s="39"/>
      <c r="AHK114" s="39"/>
      <c r="AHL114" s="39"/>
      <c r="AHM114" s="39"/>
      <c r="AHN114" s="39"/>
      <c r="AHO114" s="39"/>
      <c r="AHP114" s="39"/>
      <c r="AHQ114" s="39"/>
      <c r="AHR114" s="39"/>
      <c r="AHS114" s="39"/>
      <c r="AHT114" s="39"/>
      <c r="AHU114" s="39"/>
      <c r="AHV114" s="39"/>
      <c r="AHW114" s="39"/>
      <c r="AHX114" s="39"/>
      <c r="AHY114" s="39"/>
      <c r="AHZ114" s="39"/>
      <c r="AIA114" s="39"/>
      <c r="AIB114" s="39"/>
      <c r="AIC114" s="39"/>
      <c r="AID114" s="39"/>
      <c r="AIE114" s="39"/>
      <c r="AIF114" s="39"/>
      <c r="AIG114" s="39"/>
      <c r="AIH114" s="39"/>
      <c r="AII114" s="39"/>
      <c r="AIJ114" s="39"/>
      <c r="AIK114" s="39"/>
      <c r="AIL114" s="39"/>
      <c r="AIM114" s="39"/>
      <c r="AIN114" s="39"/>
      <c r="AIO114" s="39"/>
      <c r="AIP114" s="39"/>
      <c r="AIQ114" s="39"/>
      <c r="AIR114" s="39"/>
      <c r="AIS114" s="39"/>
      <c r="AIT114" s="39"/>
      <c r="AIU114" s="39"/>
      <c r="AIV114" s="39"/>
      <c r="AIW114" s="39"/>
      <c r="AIX114" s="39"/>
      <c r="AIY114" s="39"/>
      <c r="AIZ114" s="39"/>
      <c r="AJA114" s="39"/>
      <c r="AJB114" s="39"/>
      <c r="AJC114" s="39"/>
      <c r="AJD114" s="39"/>
      <c r="AJE114" s="39"/>
      <c r="AJF114" s="39"/>
      <c r="AJG114" s="39"/>
      <c r="AJH114" s="39"/>
      <c r="AJI114" s="39"/>
      <c r="AJJ114" s="39"/>
      <c r="AJK114" s="39"/>
      <c r="AJL114" s="39"/>
      <c r="AJM114" s="39"/>
      <c r="AJN114" s="39"/>
      <c r="AJO114" s="39"/>
      <c r="AJP114" s="39"/>
      <c r="AJQ114" s="39"/>
      <c r="AJR114" s="39"/>
      <c r="AJS114" s="39"/>
      <c r="AJT114" s="39"/>
      <c r="AJU114" s="39"/>
      <c r="AJV114" s="39"/>
      <c r="AJW114" s="39"/>
      <c r="AJX114" s="39"/>
      <c r="AJY114" s="39"/>
      <c r="AJZ114" s="39"/>
      <c r="AKA114" s="39"/>
      <c r="AKB114" s="39"/>
      <c r="AKC114" s="39"/>
      <c r="AKD114" s="39"/>
      <c r="AKE114" s="39"/>
      <c r="AKF114" s="39"/>
      <c r="AKG114" s="39"/>
      <c r="AKH114" s="39"/>
      <c r="AKI114" s="39"/>
      <c r="AKJ114" s="39"/>
      <c r="AKK114" s="39"/>
      <c r="AKL114" s="39"/>
      <c r="AKM114" s="39"/>
      <c r="AKN114" s="39"/>
      <c r="AKO114" s="39"/>
      <c r="AKP114" s="39"/>
      <c r="AKQ114" s="39"/>
      <c r="AKR114" s="39"/>
      <c r="AKS114" s="39"/>
      <c r="AKT114" s="39"/>
      <c r="AKU114" s="39"/>
      <c r="AKV114" s="39"/>
      <c r="AKW114" s="39"/>
      <c r="AKX114" s="39"/>
      <c r="AKY114" s="39"/>
      <c r="AKZ114" s="39"/>
      <c r="ALA114" s="39"/>
      <c r="ALB114" s="39"/>
      <c r="ALC114" s="39"/>
      <c r="ALD114" s="39"/>
      <c r="ALE114" s="39"/>
      <c r="ALF114" s="39"/>
      <c r="ALG114" s="39"/>
      <c r="ALH114" s="39"/>
      <c r="ALI114" s="39"/>
      <c r="ALJ114" s="39"/>
      <c r="ALK114" s="39"/>
      <c r="ALL114" s="39"/>
      <c r="ALM114" s="39"/>
      <c r="ALN114" s="39"/>
      <c r="ALO114" s="39"/>
      <c r="ALP114" s="39"/>
    </row>
    <row r="115" spans="1:1004" s="102" customFormat="1" ht="13.5">
      <c r="A115" s="903"/>
      <c r="B115" s="904"/>
      <c r="C115" s="930" t="s">
        <v>328</v>
      </c>
      <c r="D115" s="906"/>
      <c r="E115" s="908">
        <v>1</v>
      </c>
      <c r="F115" s="908">
        <v>24</v>
      </c>
      <c r="G115" s="908">
        <f>E115*F115</f>
        <v>24</v>
      </c>
      <c r="H115" s="933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  <c r="FU115" s="39"/>
      <c r="FV115" s="39"/>
      <c r="FW115" s="39"/>
      <c r="FX115" s="39"/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  <c r="HI115" s="39"/>
      <c r="HJ115" s="39"/>
      <c r="HK115" s="39"/>
      <c r="HL115" s="39"/>
      <c r="HM115" s="39"/>
      <c r="HN115" s="39"/>
      <c r="HO115" s="39"/>
      <c r="HP115" s="39"/>
      <c r="HQ115" s="39"/>
      <c r="HR115" s="39"/>
      <c r="HS115" s="39"/>
      <c r="HT115" s="39"/>
      <c r="HU115" s="39"/>
      <c r="HV115" s="39"/>
      <c r="HW115" s="39"/>
      <c r="HX115" s="39"/>
      <c r="HY115" s="39"/>
      <c r="HZ115" s="39"/>
      <c r="IA115" s="39"/>
      <c r="IB115" s="39"/>
      <c r="IC115" s="39"/>
      <c r="ID115" s="39"/>
      <c r="IE115" s="39"/>
      <c r="IF115" s="39"/>
      <c r="IG115" s="39"/>
      <c r="IH115" s="39"/>
      <c r="II115" s="39"/>
      <c r="IJ115" s="39"/>
      <c r="IK115" s="39"/>
      <c r="IL115" s="39"/>
      <c r="IM115" s="39"/>
      <c r="IN115" s="39"/>
      <c r="IO115" s="39"/>
      <c r="IP115" s="39"/>
      <c r="IQ115" s="39"/>
      <c r="IR115" s="39"/>
      <c r="IS115" s="39"/>
      <c r="IT115" s="39"/>
      <c r="IU115" s="39"/>
      <c r="IV115" s="39"/>
      <c r="IW115" s="39"/>
      <c r="IX115" s="39"/>
      <c r="IY115" s="39"/>
      <c r="IZ115" s="39"/>
      <c r="JA115" s="39"/>
      <c r="JB115" s="39"/>
      <c r="JC115" s="39"/>
      <c r="JD115" s="39"/>
      <c r="JE115" s="39"/>
      <c r="JF115" s="39"/>
      <c r="JG115" s="39"/>
      <c r="JH115" s="39"/>
      <c r="JI115" s="39"/>
      <c r="JJ115" s="39"/>
      <c r="JK115" s="39"/>
      <c r="JL115" s="39"/>
      <c r="JM115" s="39"/>
      <c r="JN115" s="39"/>
      <c r="JO115" s="39"/>
      <c r="JP115" s="39"/>
      <c r="JQ115" s="39"/>
      <c r="JR115" s="39"/>
      <c r="JS115" s="39"/>
      <c r="JT115" s="39"/>
      <c r="JU115" s="39"/>
      <c r="JV115" s="39"/>
      <c r="JW115" s="39"/>
      <c r="JX115" s="39"/>
      <c r="JY115" s="39"/>
      <c r="JZ115" s="39"/>
      <c r="KA115" s="39"/>
      <c r="KB115" s="39"/>
      <c r="KC115" s="39"/>
      <c r="KD115" s="39"/>
      <c r="KE115" s="39"/>
      <c r="KF115" s="39"/>
      <c r="KG115" s="39"/>
      <c r="KH115" s="39"/>
      <c r="KI115" s="39"/>
      <c r="KJ115" s="39"/>
      <c r="KK115" s="39"/>
      <c r="KL115" s="39"/>
      <c r="KM115" s="39"/>
      <c r="KN115" s="39"/>
      <c r="KO115" s="39"/>
      <c r="KP115" s="39"/>
      <c r="KQ115" s="39"/>
      <c r="KR115" s="39"/>
      <c r="KS115" s="39"/>
      <c r="KT115" s="39"/>
      <c r="KU115" s="39"/>
      <c r="KV115" s="39"/>
      <c r="KW115" s="39"/>
      <c r="KX115" s="39"/>
      <c r="KY115" s="39"/>
      <c r="KZ115" s="39"/>
      <c r="LA115" s="39"/>
      <c r="LB115" s="39"/>
      <c r="LC115" s="39"/>
      <c r="LD115" s="39"/>
      <c r="LE115" s="39"/>
      <c r="LF115" s="39"/>
      <c r="LG115" s="39"/>
      <c r="LH115" s="39"/>
      <c r="LI115" s="39"/>
      <c r="LJ115" s="39"/>
      <c r="LK115" s="39"/>
      <c r="LL115" s="39"/>
      <c r="LM115" s="39"/>
      <c r="LN115" s="39"/>
      <c r="LO115" s="39"/>
      <c r="LP115" s="39"/>
      <c r="LQ115" s="39"/>
      <c r="LR115" s="39"/>
      <c r="LS115" s="39"/>
      <c r="LT115" s="39"/>
      <c r="LU115" s="39"/>
      <c r="LV115" s="39"/>
      <c r="LW115" s="39"/>
      <c r="LX115" s="39"/>
      <c r="LY115" s="39"/>
      <c r="LZ115" s="39"/>
      <c r="MA115" s="39"/>
      <c r="MB115" s="39"/>
      <c r="MC115" s="39"/>
      <c r="MD115" s="39"/>
      <c r="ME115" s="39"/>
      <c r="MF115" s="39"/>
      <c r="MG115" s="39"/>
      <c r="MH115" s="39"/>
      <c r="MI115" s="39"/>
      <c r="MJ115" s="39"/>
      <c r="MK115" s="39"/>
      <c r="ML115" s="39"/>
      <c r="MM115" s="39"/>
      <c r="MN115" s="39"/>
      <c r="MO115" s="39"/>
      <c r="MP115" s="39"/>
      <c r="MQ115" s="39"/>
      <c r="MR115" s="39"/>
      <c r="MS115" s="39"/>
      <c r="MT115" s="39"/>
      <c r="MU115" s="39"/>
      <c r="MV115" s="39"/>
      <c r="MW115" s="39"/>
      <c r="MX115" s="39"/>
      <c r="MY115" s="39"/>
      <c r="MZ115" s="39"/>
      <c r="NA115" s="39"/>
      <c r="NB115" s="39"/>
      <c r="NC115" s="39"/>
      <c r="ND115" s="39"/>
      <c r="NE115" s="39"/>
      <c r="NF115" s="39"/>
      <c r="NG115" s="39"/>
      <c r="NH115" s="39"/>
      <c r="NI115" s="39"/>
      <c r="NJ115" s="39"/>
      <c r="NK115" s="39"/>
      <c r="NL115" s="39"/>
      <c r="NM115" s="39"/>
      <c r="NN115" s="39"/>
      <c r="NO115" s="39"/>
      <c r="NP115" s="39"/>
      <c r="NQ115" s="39"/>
      <c r="NR115" s="39"/>
      <c r="NS115" s="39"/>
      <c r="NT115" s="39"/>
      <c r="NU115" s="39"/>
      <c r="NV115" s="39"/>
      <c r="NW115" s="39"/>
      <c r="NX115" s="39"/>
      <c r="NY115" s="39"/>
      <c r="NZ115" s="39"/>
      <c r="OA115" s="39"/>
      <c r="OB115" s="39"/>
      <c r="OC115" s="39"/>
      <c r="OD115" s="39"/>
      <c r="OE115" s="39"/>
      <c r="OF115" s="39"/>
      <c r="OG115" s="39"/>
      <c r="OH115" s="39"/>
      <c r="OI115" s="39"/>
      <c r="OJ115" s="39"/>
      <c r="OK115" s="39"/>
      <c r="OL115" s="39"/>
      <c r="OM115" s="39"/>
      <c r="ON115" s="39"/>
      <c r="OO115" s="39"/>
      <c r="OP115" s="39"/>
      <c r="OQ115" s="39"/>
      <c r="OR115" s="39"/>
      <c r="OS115" s="39"/>
      <c r="OT115" s="39"/>
      <c r="OU115" s="39"/>
      <c r="OV115" s="39"/>
      <c r="OW115" s="39"/>
      <c r="OX115" s="39"/>
      <c r="OY115" s="39"/>
      <c r="OZ115" s="39"/>
      <c r="PA115" s="39"/>
      <c r="PB115" s="39"/>
      <c r="PC115" s="39"/>
      <c r="PD115" s="39"/>
      <c r="PE115" s="39"/>
      <c r="PF115" s="39"/>
      <c r="PG115" s="39"/>
      <c r="PH115" s="39"/>
      <c r="PI115" s="39"/>
      <c r="PJ115" s="39"/>
      <c r="PK115" s="39"/>
      <c r="PL115" s="39"/>
      <c r="PM115" s="39"/>
      <c r="PN115" s="39"/>
      <c r="PO115" s="39"/>
      <c r="PP115" s="39"/>
      <c r="PQ115" s="39"/>
      <c r="PR115" s="39"/>
      <c r="PS115" s="39"/>
      <c r="PT115" s="39"/>
      <c r="PU115" s="39"/>
      <c r="PV115" s="39"/>
      <c r="PW115" s="39"/>
      <c r="PX115" s="39"/>
      <c r="PY115" s="39"/>
      <c r="PZ115" s="39"/>
      <c r="QA115" s="39"/>
      <c r="QB115" s="39"/>
      <c r="QC115" s="39"/>
      <c r="QD115" s="39"/>
      <c r="QE115" s="39"/>
      <c r="QF115" s="39"/>
      <c r="QG115" s="39"/>
      <c r="QH115" s="39"/>
      <c r="QI115" s="39"/>
      <c r="QJ115" s="39"/>
      <c r="QK115" s="39"/>
      <c r="QL115" s="39"/>
      <c r="QM115" s="39"/>
      <c r="QN115" s="39"/>
      <c r="QO115" s="39"/>
      <c r="QP115" s="39"/>
      <c r="QQ115" s="39"/>
      <c r="QR115" s="39"/>
      <c r="QS115" s="39"/>
      <c r="QT115" s="39"/>
      <c r="QU115" s="39"/>
      <c r="QV115" s="39"/>
      <c r="QW115" s="39"/>
      <c r="QX115" s="39"/>
      <c r="QY115" s="39"/>
      <c r="QZ115" s="39"/>
      <c r="RA115" s="39"/>
      <c r="RB115" s="39"/>
      <c r="RC115" s="39"/>
      <c r="RD115" s="39"/>
      <c r="RE115" s="39"/>
      <c r="RF115" s="39"/>
      <c r="RG115" s="39"/>
      <c r="RH115" s="39"/>
      <c r="RI115" s="39"/>
      <c r="RJ115" s="39"/>
      <c r="RK115" s="39"/>
      <c r="RL115" s="39"/>
      <c r="RM115" s="39"/>
      <c r="RN115" s="39"/>
      <c r="RO115" s="39"/>
      <c r="RP115" s="39"/>
      <c r="RQ115" s="39"/>
      <c r="RR115" s="39"/>
      <c r="RS115" s="39"/>
      <c r="RT115" s="39"/>
      <c r="RU115" s="39"/>
      <c r="RV115" s="39"/>
      <c r="RW115" s="39"/>
      <c r="RX115" s="39"/>
      <c r="RY115" s="39"/>
      <c r="RZ115" s="39"/>
      <c r="SA115" s="39"/>
      <c r="SB115" s="39"/>
      <c r="SC115" s="39"/>
      <c r="SD115" s="39"/>
      <c r="SE115" s="39"/>
      <c r="SF115" s="39"/>
      <c r="SG115" s="39"/>
      <c r="SH115" s="39"/>
      <c r="SI115" s="39"/>
      <c r="SJ115" s="39"/>
      <c r="SK115" s="39"/>
      <c r="SL115" s="39"/>
      <c r="SM115" s="39"/>
      <c r="SN115" s="39"/>
      <c r="SO115" s="39"/>
      <c r="SP115" s="39"/>
      <c r="SQ115" s="39"/>
      <c r="SR115" s="39"/>
      <c r="SS115" s="39"/>
      <c r="ST115" s="39"/>
      <c r="SU115" s="39"/>
      <c r="SV115" s="39"/>
      <c r="SW115" s="39"/>
      <c r="SX115" s="39"/>
      <c r="SY115" s="39"/>
      <c r="SZ115" s="39"/>
      <c r="TA115" s="39"/>
      <c r="TB115" s="39"/>
      <c r="TC115" s="39"/>
      <c r="TD115" s="39"/>
      <c r="TE115" s="39"/>
      <c r="TF115" s="39"/>
      <c r="TG115" s="39"/>
      <c r="TH115" s="39"/>
      <c r="TI115" s="39"/>
      <c r="TJ115" s="39"/>
      <c r="TK115" s="39"/>
      <c r="TL115" s="39"/>
      <c r="TM115" s="39"/>
      <c r="TN115" s="39"/>
      <c r="TO115" s="39"/>
      <c r="TP115" s="39"/>
      <c r="TQ115" s="39"/>
      <c r="TR115" s="39"/>
      <c r="TS115" s="39"/>
      <c r="TT115" s="39"/>
      <c r="TU115" s="39"/>
      <c r="TV115" s="39"/>
      <c r="TW115" s="39"/>
      <c r="TX115" s="39"/>
      <c r="TY115" s="39"/>
      <c r="TZ115" s="39"/>
      <c r="UA115" s="39"/>
      <c r="UB115" s="39"/>
      <c r="UC115" s="39"/>
      <c r="UD115" s="39"/>
      <c r="UE115" s="39"/>
      <c r="UF115" s="39"/>
      <c r="UG115" s="39"/>
      <c r="UH115" s="39"/>
      <c r="UI115" s="39"/>
      <c r="UJ115" s="39"/>
      <c r="UK115" s="39"/>
      <c r="UL115" s="39"/>
      <c r="UM115" s="39"/>
      <c r="UN115" s="39"/>
      <c r="UO115" s="39"/>
      <c r="UP115" s="39"/>
      <c r="UQ115" s="39"/>
      <c r="UR115" s="39"/>
      <c r="US115" s="39"/>
      <c r="UT115" s="39"/>
      <c r="UU115" s="39"/>
      <c r="UV115" s="39"/>
      <c r="UW115" s="39"/>
      <c r="UX115" s="39"/>
      <c r="UY115" s="39"/>
      <c r="UZ115" s="39"/>
      <c r="VA115" s="39"/>
      <c r="VB115" s="39"/>
      <c r="VC115" s="39"/>
      <c r="VD115" s="39"/>
      <c r="VE115" s="39"/>
      <c r="VF115" s="39"/>
      <c r="VG115" s="39"/>
      <c r="VH115" s="39"/>
      <c r="VI115" s="39"/>
      <c r="VJ115" s="39"/>
      <c r="VK115" s="39"/>
      <c r="VL115" s="39"/>
      <c r="VM115" s="39"/>
      <c r="VN115" s="39"/>
      <c r="VO115" s="39"/>
      <c r="VP115" s="39"/>
      <c r="VQ115" s="39"/>
      <c r="VR115" s="39"/>
      <c r="VS115" s="39"/>
      <c r="VT115" s="39"/>
      <c r="VU115" s="39"/>
      <c r="VV115" s="39"/>
      <c r="VW115" s="39"/>
      <c r="VX115" s="39"/>
      <c r="VY115" s="39"/>
      <c r="VZ115" s="39"/>
      <c r="WA115" s="39"/>
      <c r="WB115" s="39"/>
      <c r="WC115" s="39"/>
      <c r="WD115" s="39"/>
      <c r="WE115" s="39"/>
      <c r="WF115" s="39"/>
      <c r="WG115" s="39"/>
      <c r="WH115" s="39"/>
      <c r="WI115" s="39"/>
      <c r="WJ115" s="39"/>
      <c r="WK115" s="39"/>
      <c r="WL115" s="39"/>
      <c r="WM115" s="39"/>
      <c r="WN115" s="39"/>
      <c r="WO115" s="39"/>
      <c r="WP115" s="39"/>
      <c r="WQ115" s="39"/>
      <c r="WR115" s="39"/>
      <c r="WS115" s="39"/>
      <c r="WT115" s="39"/>
      <c r="WU115" s="39"/>
      <c r="WV115" s="39"/>
      <c r="WW115" s="39"/>
      <c r="WX115" s="39"/>
      <c r="WY115" s="39"/>
      <c r="WZ115" s="39"/>
      <c r="XA115" s="39"/>
      <c r="XB115" s="39"/>
      <c r="XC115" s="39"/>
      <c r="XD115" s="39"/>
      <c r="XE115" s="39"/>
      <c r="XF115" s="39"/>
      <c r="XG115" s="39"/>
      <c r="XH115" s="39"/>
      <c r="XI115" s="39"/>
      <c r="XJ115" s="39"/>
      <c r="XK115" s="39"/>
      <c r="XL115" s="39"/>
      <c r="XM115" s="39"/>
      <c r="XN115" s="39"/>
      <c r="XO115" s="39"/>
      <c r="XP115" s="39"/>
      <c r="XQ115" s="39"/>
      <c r="XR115" s="39"/>
      <c r="XS115" s="39"/>
      <c r="XT115" s="39"/>
      <c r="XU115" s="39"/>
      <c r="XV115" s="39"/>
      <c r="XW115" s="39"/>
      <c r="XX115" s="39"/>
      <c r="XY115" s="39"/>
      <c r="XZ115" s="39"/>
      <c r="YA115" s="39"/>
      <c r="YB115" s="39"/>
      <c r="YC115" s="39"/>
      <c r="YD115" s="39"/>
      <c r="YE115" s="39"/>
      <c r="YF115" s="39"/>
      <c r="YG115" s="39"/>
      <c r="YH115" s="39"/>
      <c r="YI115" s="39"/>
      <c r="YJ115" s="39"/>
      <c r="YK115" s="39"/>
      <c r="YL115" s="39"/>
      <c r="YM115" s="39"/>
      <c r="YN115" s="39"/>
      <c r="YO115" s="39"/>
      <c r="YP115" s="39"/>
      <c r="YQ115" s="39"/>
      <c r="YR115" s="39"/>
      <c r="YS115" s="39"/>
      <c r="YT115" s="39"/>
      <c r="YU115" s="39"/>
      <c r="YV115" s="39"/>
      <c r="YW115" s="39"/>
      <c r="YX115" s="39"/>
      <c r="YY115" s="39"/>
      <c r="YZ115" s="39"/>
      <c r="ZA115" s="39"/>
      <c r="ZB115" s="39"/>
      <c r="ZC115" s="39"/>
      <c r="ZD115" s="39"/>
      <c r="ZE115" s="39"/>
      <c r="ZF115" s="39"/>
      <c r="ZG115" s="39"/>
      <c r="ZH115" s="39"/>
      <c r="ZI115" s="39"/>
      <c r="ZJ115" s="39"/>
      <c r="ZK115" s="39"/>
      <c r="ZL115" s="39"/>
      <c r="ZM115" s="39"/>
      <c r="ZN115" s="39"/>
      <c r="ZO115" s="39"/>
      <c r="ZP115" s="39"/>
      <c r="ZQ115" s="39"/>
      <c r="ZR115" s="39"/>
      <c r="ZS115" s="39"/>
      <c r="ZT115" s="39"/>
      <c r="ZU115" s="39"/>
      <c r="ZV115" s="39"/>
      <c r="ZW115" s="39"/>
      <c r="ZX115" s="39"/>
      <c r="ZY115" s="39"/>
      <c r="ZZ115" s="39"/>
      <c r="AAA115" s="39"/>
      <c r="AAB115" s="39"/>
      <c r="AAC115" s="39"/>
      <c r="AAD115" s="39"/>
      <c r="AAE115" s="39"/>
      <c r="AAF115" s="39"/>
      <c r="AAG115" s="39"/>
      <c r="AAH115" s="39"/>
      <c r="AAI115" s="39"/>
      <c r="AAJ115" s="39"/>
      <c r="AAK115" s="39"/>
      <c r="AAL115" s="39"/>
      <c r="AAM115" s="39"/>
      <c r="AAN115" s="39"/>
      <c r="AAO115" s="39"/>
      <c r="AAP115" s="39"/>
      <c r="AAQ115" s="39"/>
      <c r="AAR115" s="39"/>
      <c r="AAS115" s="39"/>
      <c r="AAT115" s="39"/>
      <c r="AAU115" s="39"/>
      <c r="AAV115" s="39"/>
      <c r="AAW115" s="39"/>
      <c r="AAX115" s="39"/>
      <c r="AAY115" s="39"/>
      <c r="AAZ115" s="39"/>
      <c r="ABA115" s="39"/>
      <c r="ABB115" s="39"/>
      <c r="ABC115" s="39"/>
      <c r="ABD115" s="39"/>
      <c r="ABE115" s="39"/>
      <c r="ABF115" s="39"/>
      <c r="ABG115" s="39"/>
      <c r="ABH115" s="39"/>
      <c r="ABI115" s="39"/>
      <c r="ABJ115" s="39"/>
      <c r="ABK115" s="39"/>
      <c r="ABL115" s="39"/>
      <c r="ABM115" s="39"/>
      <c r="ABN115" s="39"/>
      <c r="ABO115" s="39"/>
      <c r="ABP115" s="39"/>
      <c r="ABQ115" s="39"/>
      <c r="ABR115" s="39"/>
      <c r="ABS115" s="39"/>
      <c r="ABT115" s="39"/>
      <c r="ABU115" s="39"/>
      <c r="ABV115" s="39"/>
      <c r="ABW115" s="39"/>
      <c r="ABX115" s="39"/>
      <c r="ABY115" s="39"/>
      <c r="ABZ115" s="39"/>
      <c r="ACA115" s="39"/>
      <c r="ACB115" s="39"/>
      <c r="ACC115" s="39"/>
      <c r="ACD115" s="39"/>
      <c r="ACE115" s="39"/>
      <c r="ACF115" s="39"/>
      <c r="ACG115" s="39"/>
      <c r="ACH115" s="39"/>
      <c r="ACI115" s="39"/>
      <c r="ACJ115" s="39"/>
      <c r="ACK115" s="39"/>
      <c r="ACL115" s="39"/>
      <c r="ACM115" s="39"/>
      <c r="ACN115" s="39"/>
      <c r="ACO115" s="39"/>
      <c r="ACP115" s="39"/>
      <c r="ACQ115" s="39"/>
      <c r="ACR115" s="39"/>
      <c r="ACS115" s="39"/>
      <c r="ACT115" s="39"/>
      <c r="ACU115" s="39"/>
      <c r="ACV115" s="39"/>
      <c r="ACW115" s="39"/>
      <c r="ACX115" s="39"/>
      <c r="ACY115" s="39"/>
      <c r="ACZ115" s="39"/>
      <c r="ADA115" s="39"/>
      <c r="ADB115" s="39"/>
      <c r="ADC115" s="39"/>
      <c r="ADD115" s="39"/>
      <c r="ADE115" s="39"/>
      <c r="ADF115" s="39"/>
      <c r="ADG115" s="39"/>
      <c r="ADH115" s="39"/>
      <c r="ADI115" s="39"/>
      <c r="ADJ115" s="39"/>
      <c r="ADK115" s="39"/>
      <c r="ADL115" s="39"/>
      <c r="ADM115" s="39"/>
      <c r="ADN115" s="39"/>
      <c r="ADO115" s="39"/>
      <c r="ADP115" s="39"/>
      <c r="ADQ115" s="39"/>
      <c r="ADR115" s="39"/>
      <c r="ADS115" s="39"/>
      <c r="ADT115" s="39"/>
      <c r="ADU115" s="39"/>
      <c r="ADV115" s="39"/>
      <c r="ADW115" s="39"/>
      <c r="ADX115" s="39"/>
      <c r="ADY115" s="39"/>
      <c r="ADZ115" s="39"/>
      <c r="AEA115" s="39"/>
      <c r="AEB115" s="39"/>
      <c r="AEC115" s="39"/>
      <c r="AED115" s="39"/>
      <c r="AEE115" s="39"/>
      <c r="AEF115" s="39"/>
      <c r="AEG115" s="39"/>
      <c r="AEH115" s="39"/>
      <c r="AEI115" s="39"/>
      <c r="AEJ115" s="39"/>
      <c r="AEK115" s="39"/>
      <c r="AEL115" s="39"/>
      <c r="AEM115" s="39"/>
      <c r="AEN115" s="39"/>
      <c r="AEO115" s="39"/>
      <c r="AEP115" s="39"/>
      <c r="AEQ115" s="39"/>
      <c r="AER115" s="39"/>
      <c r="AES115" s="39"/>
      <c r="AET115" s="39"/>
      <c r="AEU115" s="39"/>
      <c r="AEV115" s="39"/>
      <c r="AEW115" s="39"/>
      <c r="AEX115" s="39"/>
      <c r="AEY115" s="39"/>
      <c r="AEZ115" s="39"/>
      <c r="AFA115" s="39"/>
      <c r="AFB115" s="39"/>
      <c r="AFC115" s="39"/>
      <c r="AFD115" s="39"/>
      <c r="AFE115" s="39"/>
      <c r="AFF115" s="39"/>
      <c r="AFG115" s="39"/>
      <c r="AFH115" s="39"/>
      <c r="AFI115" s="39"/>
      <c r="AFJ115" s="39"/>
      <c r="AFK115" s="39"/>
      <c r="AFL115" s="39"/>
      <c r="AFM115" s="39"/>
      <c r="AFN115" s="39"/>
      <c r="AFO115" s="39"/>
      <c r="AFP115" s="39"/>
      <c r="AFQ115" s="39"/>
      <c r="AFR115" s="39"/>
      <c r="AFS115" s="39"/>
      <c r="AFT115" s="39"/>
      <c r="AFU115" s="39"/>
      <c r="AFV115" s="39"/>
      <c r="AFW115" s="39"/>
      <c r="AFX115" s="39"/>
      <c r="AFY115" s="39"/>
      <c r="AFZ115" s="39"/>
      <c r="AGA115" s="39"/>
      <c r="AGB115" s="39"/>
      <c r="AGC115" s="39"/>
      <c r="AGD115" s="39"/>
      <c r="AGE115" s="39"/>
      <c r="AGF115" s="39"/>
      <c r="AGG115" s="39"/>
      <c r="AGH115" s="39"/>
      <c r="AGI115" s="39"/>
      <c r="AGJ115" s="39"/>
      <c r="AGK115" s="39"/>
      <c r="AGL115" s="39"/>
      <c r="AGM115" s="39"/>
      <c r="AGN115" s="39"/>
      <c r="AGO115" s="39"/>
      <c r="AGP115" s="39"/>
      <c r="AGQ115" s="39"/>
      <c r="AGR115" s="39"/>
      <c r="AGS115" s="39"/>
      <c r="AGT115" s="39"/>
      <c r="AGU115" s="39"/>
      <c r="AGV115" s="39"/>
      <c r="AGW115" s="39"/>
      <c r="AGX115" s="39"/>
      <c r="AGY115" s="39"/>
      <c r="AGZ115" s="39"/>
      <c r="AHA115" s="39"/>
      <c r="AHB115" s="39"/>
      <c r="AHC115" s="39"/>
      <c r="AHD115" s="39"/>
      <c r="AHE115" s="39"/>
      <c r="AHF115" s="39"/>
      <c r="AHG115" s="39"/>
      <c r="AHH115" s="39"/>
      <c r="AHI115" s="39"/>
      <c r="AHJ115" s="39"/>
      <c r="AHK115" s="39"/>
      <c r="AHL115" s="39"/>
      <c r="AHM115" s="39"/>
      <c r="AHN115" s="39"/>
      <c r="AHO115" s="39"/>
      <c r="AHP115" s="39"/>
      <c r="AHQ115" s="39"/>
      <c r="AHR115" s="39"/>
      <c r="AHS115" s="39"/>
      <c r="AHT115" s="39"/>
      <c r="AHU115" s="39"/>
      <c r="AHV115" s="39"/>
      <c r="AHW115" s="39"/>
      <c r="AHX115" s="39"/>
      <c r="AHY115" s="39"/>
      <c r="AHZ115" s="39"/>
      <c r="AIA115" s="39"/>
      <c r="AIB115" s="39"/>
      <c r="AIC115" s="39"/>
      <c r="AID115" s="39"/>
      <c r="AIE115" s="39"/>
      <c r="AIF115" s="39"/>
      <c r="AIG115" s="39"/>
      <c r="AIH115" s="39"/>
      <c r="AII115" s="39"/>
      <c r="AIJ115" s="39"/>
      <c r="AIK115" s="39"/>
      <c r="AIL115" s="39"/>
      <c r="AIM115" s="39"/>
      <c r="AIN115" s="39"/>
      <c r="AIO115" s="39"/>
      <c r="AIP115" s="39"/>
      <c r="AIQ115" s="39"/>
      <c r="AIR115" s="39"/>
      <c r="AIS115" s="39"/>
      <c r="AIT115" s="39"/>
      <c r="AIU115" s="39"/>
      <c r="AIV115" s="39"/>
      <c r="AIW115" s="39"/>
      <c r="AIX115" s="39"/>
      <c r="AIY115" s="39"/>
      <c r="AIZ115" s="39"/>
      <c r="AJA115" s="39"/>
      <c r="AJB115" s="39"/>
      <c r="AJC115" s="39"/>
      <c r="AJD115" s="39"/>
      <c r="AJE115" s="39"/>
      <c r="AJF115" s="39"/>
      <c r="AJG115" s="39"/>
      <c r="AJH115" s="39"/>
      <c r="AJI115" s="39"/>
      <c r="AJJ115" s="39"/>
      <c r="AJK115" s="39"/>
      <c r="AJL115" s="39"/>
      <c r="AJM115" s="39"/>
      <c r="AJN115" s="39"/>
      <c r="AJO115" s="39"/>
      <c r="AJP115" s="39"/>
      <c r="AJQ115" s="39"/>
      <c r="AJR115" s="39"/>
      <c r="AJS115" s="39"/>
      <c r="AJT115" s="39"/>
      <c r="AJU115" s="39"/>
      <c r="AJV115" s="39"/>
      <c r="AJW115" s="39"/>
      <c r="AJX115" s="39"/>
      <c r="AJY115" s="39"/>
      <c r="AJZ115" s="39"/>
      <c r="AKA115" s="39"/>
      <c r="AKB115" s="39"/>
      <c r="AKC115" s="39"/>
      <c r="AKD115" s="39"/>
      <c r="AKE115" s="39"/>
      <c r="AKF115" s="39"/>
      <c r="AKG115" s="39"/>
      <c r="AKH115" s="39"/>
      <c r="AKI115" s="39"/>
      <c r="AKJ115" s="39"/>
      <c r="AKK115" s="39"/>
      <c r="AKL115" s="39"/>
      <c r="AKM115" s="39"/>
      <c r="AKN115" s="39"/>
      <c r="AKO115" s="39"/>
      <c r="AKP115" s="39"/>
      <c r="AKQ115" s="39"/>
      <c r="AKR115" s="39"/>
      <c r="AKS115" s="39"/>
      <c r="AKT115" s="39"/>
      <c r="AKU115" s="39"/>
      <c r="AKV115" s="39"/>
      <c r="AKW115" s="39"/>
      <c r="AKX115" s="39"/>
      <c r="AKY115" s="39"/>
      <c r="AKZ115" s="39"/>
      <c r="ALA115" s="39"/>
      <c r="ALB115" s="39"/>
      <c r="ALC115" s="39"/>
      <c r="ALD115" s="39"/>
      <c r="ALE115" s="39"/>
      <c r="ALF115" s="39"/>
      <c r="ALG115" s="39"/>
      <c r="ALH115" s="39"/>
      <c r="ALI115" s="39"/>
      <c r="ALJ115" s="39"/>
      <c r="ALK115" s="39"/>
      <c r="ALL115" s="39"/>
      <c r="ALM115" s="39"/>
      <c r="ALN115" s="39"/>
      <c r="ALO115" s="39"/>
      <c r="ALP115" s="39"/>
    </row>
    <row r="116" spans="1:1004" s="39" customFormat="1" ht="11.45" customHeight="1">
      <c r="A116" s="23"/>
      <c r="B116" s="24"/>
      <c r="C116" s="30"/>
      <c r="D116" s="25"/>
      <c r="E116" s="26"/>
      <c r="F116" s="27" t="s">
        <v>15</v>
      </c>
      <c r="G116" s="28">
        <f>SUM(G109:G115)</f>
        <v>263</v>
      </c>
      <c r="H116" s="29"/>
    </row>
    <row r="117" spans="1:1004" s="39" customFormat="1" ht="11.45" customHeight="1">
      <c r="A117" s="914"/>
      <c r="B117" s="915"/>
      <c r="C117" s="916"/>
      <c r="D117" s="917"/>
      <c r="E117" s="918"/>
      <c r="F117" s="919" t="s">
        <v>16</v>
      </c>
      <c r="G117" s="920">
        <v>1.2</v>
      </c>
      <c r="H117" s="921"/>
    </row>
    <row r="118" spans="1:1004" s="39" customFormat="1" ht="11.45" customHeight="1">
      <c r="A118" s="922"/>
      <c r="B118" s="923"/>
      <c r="C118" s="924"/>
      <c r="D118" s="925"/>
      <c r="E118" s="926"/>
      <c r="F118" s="927" t="s">
        <v>17</v>
      </c>
      <c r="G118" s="928">
        <f>G116*G117</f>
        <v>315.59999999999997</v>
      </c>
      <c r="H118" s="929"/>
    </row>
    <row r="119" spans="1:1004" s="39" customFormat="1" ht="13.5">
      <c r="A119" s="802" t="s">
        <v>48</v>
      </c>
      <c r="B119" s="149"/>
      <c r="C119" s="150"/>
      <c r="D119" s="151"/>
      <c r="E119" s="151"/>
      <c r="F119" s="152"/>
      <c r="G119" s="152"/>
      <c r="H119" s="803"/>
      <c r="I119" s="102"/>
    </row>
    <row r="120" spans="1:1004" s="39" customFormat="1" ht="13.5">
      <c r="A120" s="903"/>
      <c r="B120" s="904"/>
      <c r="C120" s="930" t="s">
        <v>49</v>
      </c>
      <c r="D120" s="940"/>
      <c r="E120" s="907">
        <v>1</v>
      </c>
      <c r="F120" s="941">
        <v>160</v>
      </c>
      <c r="G120" s="942">
        <f>E120*F120</f>
        <v>160</v>
      </c>
      <c r="H120" s="933"/>
      <c r="I120" s="102"/>
    </row>
    <row r="121" spans="1:1004" s="39" customFormat="1" ht="13.5">
      <c r="A121" s="903"/>
      <c r="B121" s="904"/>
      <c r="C121" s="930" t="s">
        <v>50</v>
      </c>
      <c r="D121" s="940"/>
      <c r="E121" s="907">
        <v>1</v>
      </c>
      <c r="F121" s="941">
        <v>40</v>
      </c>
      <c r="G121" s="942">
        <f>E121*F121</f>
        <v>40</v>
      </c>
      <c r="H121" s="933"/>
    </row>
    <row r="122" spans="1:1004" s="39" customFormat="1" ht="13.5">
      <c r="A122" s="903"/>
      <c r="B122" s="904"/>
      <c r="C122" s="930" t="s">
        <v>51</v>
      </c>
      <c r="D122" s="940"/>
      <c r="E122" s="907">
        <v>1</v>
      </c>
      <c r="F122" s="941">
        <v>54</v>
      </c>
      <c r="G122" s="942">
        <f>E122*F122</f>
        <v>54</v>
      </c>
      <c r="H122" s="933"/>
    </row>
    <row r="123" spans="1:1004" s="39" customFormat="1" ht="13.5">
      <c r="A123" s="903"/>
      <c r="B123" s="904"/>
      <c r="C123" s="930" t="s">
        <v>188</v>
      </c>
      <c r="D123" s="943"/>
      <c r="E123" s="944">
        <v>0</v>
      </c>
      <c r="F123" s="945">
        <v>60</v>
      </c>
      <c r="G123" s="946">
        <f>E123*F123</f>
        <v>0</v>
      </c>
      <c r="H123" s="933"/>
    </row>
    <row r="124" spans="1:1004" s="39" customFormat="1" ht="11.25" customHeight="1">
      <c r="A124" s="23"/>
      <c r="B124" s="24"/>
      <c r="C124" s="30"/>
      <c r="D124" s="32"/>
      <c r="E124" s="26"/>
      <c r="F124" s="27" t="s">
        <v>15</v>
      </c>
      <c r="G124" s="28">
        <f>SUM(G120:G123)</f>
        <v>254</v>
      </c>
      <c r="H124" s="29"/>
    </row>
    <row r="125" spans="1:1004" s="39" customFormat="1" ht="11.25" customHeight="1">
      <c r="A125" s="23"/>
      <c r="B125" s="24"/>
      <c r="C125" s="916"/>
      <c r="D125" s="947"/>
      <c r="E125" s="918"/>
      <c r="F125" s="919" t="s">
        <v>16</v>
      </c>
      <c r="G125" s="920">
        <v>1.2</v>
      </c>
      <c r="H125" s="921"/>
    </row>
    <row r="126" spans="1:1004" s="39" customFormat="1" ht="11.25" customHeight="1">
      <c r="A126" s="23"/>
      <c r="B126" s="33"/>
      <c r="C126" s="948"/>
      <c r="D126" s="949"/>
      <c r="E126" s="950"/>
      <c r="F126" s="927" t="s">
        <v>17</v>
      </c>
      <c r="G126" s="951">
        <f>G124*G125</f>
        <v>304.8</v>
      </c>
      <c r="H126" s="952"/>
    </row>
    <row r="127" spans="1:1004" s="39" customFormat="1" ht="13.5">
      <c r="A127" s="802" t="s">
        <v>54</v>
      </c>
      <c r="B127" s="149"/>
      <c r="C127" s="150"/>
      <c r="D127" s="151"/>
      <c r="E127" s="151"/>
      <c r="F127" s="152"/>
      <c r="G127" s="152"/>
      <c r="H127" s="803"/>
    </row>
    <row r="128" spans="1:1004" s="17" customFormat="1" ht="13.5">
      <c r="A128" s="903"/>
      <c r="B128" s="904"/>
      <c r="C128" s="953" t="s">
        <v>55</v>
      </c>
      <c r="D128" s="940"/>
      <c r="E128" s="908">
        <v>4</v>
      </c>
      <c r="F128" s="941">
        <v>100</v>
      </c>
      <c r="G128" s="946">
        <f>E128*F128</f>
        <v>400</v>
      </c>
      <c r="H128" s="933"/>
    </row>
    <row r="129" spans="1:8" s="39" customFormat="1" ht="13.5">
      <c r="A129" s="903"/>
      <c r="B129" s="904"/>
      <c r="C129" s="953" t="s">
        <v>190</v>
      </c>
      <c r="D129" s="940"/>
      <c r="E129" s="907">
        <v>1</v>
      </c>
      <c r="F129" s="941">
        <v>180</v>
      </c>
      <c r="G129" s="942">
        <f>E129*F129</f>
        <v>180</v>
      </c>
      <c r="H129" s="933"/>
    </row>
    <row r="130" spans="1:8" s="39" customFormat="1" ht="13.5">
      <c r="A130" s="903"/>
      <c r="B130" s="904"/>
      <c r="C130" s="953" t="s">
        <v>329</v>
      </c>
      <c r="D130" s="940"/>
      <c r="E130" s="907">
        <v>1</v>
      </c>
      <c r="F130" s="941">
        <v>180</v>
      </c>
      <c r="G130" s="946">
        <f>E130*F130</f>
        <v>180</v>
      </c>
      <c r="H130" s="933"/>
    </row>
    <row r="131" spans="1:8" s="39" customFormat="1" ht="11.45" customHeight="1">
      <c r="A131" s="23"/>
      <c r="B131" s="24"/>
      <c r="C131" s="30"/>
      <c r="D131" s="32"/>
      <c r="E131" s="26"/>
      <c r="F131" s="27" t="s">
        <v>15</v>
      </c>
      <c r="G131" s="28">
        <f>SUM(G128:G130)</f>
        <v>760</v>
      </c>
      <c r="H131" s="29"/>
    </row>
    <row r="132" spans="1:8" s="39" customFormat="1" ht="11.45" customHeight="1">
      <c r="A132" s="23"/>
      <c r="B132" s="24"/>
      <c r="C132" s="916"/>
      <c r="D132" s="947"/>
      <c r="E132" s="918"/>
      <c r="F132" s="919" t="s">
        <v>16</v>
      </c>
      <c r="G132" s="920">
        <v>1.2</v>
      </c>
      <c r="H132" s="921"/>
    </row>
    <row r="133" spans="1:8" s="39" customFormat="1" ht="11.45" customHeight="1">
      <c r="A133" s="23"/>
      <c r="B133" s="33"/>
      <c r="C133" s="948"/>
      <c r="D133" s="949"/>
      <c r="E133" s="950"/>
      <c r="F133" s="927" t="s">
        <v>17</v>
      </c>
      <c r="G133" s="951">
        <f>G131*G132</f>
        <v>912</v>
      </c>
      <c r="H133" s="929"/>
    </row>
    <row r="134" spans="1:8" s="39" customFormat="1" ht="11.25" customHeight="1">
      <c r="A134" s="802" t="s">
        <v>59</v>
      </c>
      <c r="B134" s="149"/>
      <c r="C134" s="150"/>
      <c r="D134" s="151"/>
      <c r="E134" s="151"/>
      <c r="F134" s="152"/>
      <c r="G134" s="152"/>
      <c r="H134" s="954"/>
    </row>
    <row r="135" spans="1:8" s="39" customFormat="1" ht="12.6" customHeight="1">
      <c r="A135" s="903"/>
      <c r="B135" s="904"/>
      <c r="C135" s="953" t="s">
        <v>60</v>
      </c>
      <c r="D135" s="940"/>
      <c r="E135" s="907">
        <v>0</v>
      </c>
      <c r="F135" s="941">
        <v>192</v>
      </c>
      <c r="G135" s="946">
        <f>E135*F135</f>
        <v>0</v>
      </c>
      <c r="H135" s="933"/>
    </row>
    <row r="136" spans="1:8" s="102" customFormat="1" ht="13.5">
      <c r="A136" s="903"/>
      <c r="B136" s="904"/>
      <c r="C136" s="953" t="s">
        <v>61</v>
      </c>
      <c r="D136" s="940"/>
      <c r="E136" s="907">
        <v>0</v>
      </c>
      <c r="F136" s="908">
        <v>168</v>
      </c>
      <c r="G136" s="946">
        <f>E136*F136</f>
        <v>0</v>
      </c>
      <c r="H136" s="933"/>
    </row>
    <row r="137" spans="1:8" s="102" customFormat="1" ht="11.45" customHeight="1">
      <c r="A137" s="23"/>
      <c r="B137" s="24"/>
      <c r="C137" s="34"/>
      <c r="D137" s="32"/>
      <c r="E137" s="26"/>
      <c r="F137" s="27" t="s">
        <v>53</v>
      </c>
      <c r="G137" s="28">
        <f>SUM(G135:G136)</f>
        <v>0</v>
      </c>
      <c r="H137" s="35"/>
    </row>
    <row r="138" spans="1:8" s="102" customFormat="1" ht="11.45" customHeight="1">
      <c r="A138" s="914"/>
      <c r="B138" s="915"/>
      <c r="C138" s="916"/>
      <c r="D138" s="947"/>
      <c r="E138" s="918"/>
      <c r="F138" s="919" t="s">
        <v>16</v>
      </c>
      <c r="G138" s="955">
        <v>1.2</v>
      </c>
      <c r="H138" s="956"/>
    </row>
    <row r="139" spans="1:8" s="102" customFormat="1" ht="11.45" customHeight="1" thickBot="1">
      <c r="A139" s="957"/>
      <c r="B139" s="958"/>
      <c r="C139" s="959"/>
      <c r="D139" s="960"/>
      <c r="E139" s="961"/>
      <c r="F139" s="962" t="s">
        <v>17</v>
      </c>
      <c r="G139" s="963">
        <f>G137*G138</f>
        <v>0</v>
      </c>
      <c r="H139" s="964"/>
    </row>
    <row r="140" spans="1:8" s="102" customFormat="1" ht="13.5">
      <c r="A140" s="104"/>
      <c r="F140" s="105"/>
      <c r="G140" s="105"/>
      <c r="H140" s="105"/>
    </row>
    <row r="141" spans="1:8" s="102" customFormat="1" ht="13.5">
      <c r="A141" s="104"/>
      <c r="F141" s="105"/>
      <c r="G141" s="105"/>
      <c r="H141" s="105"/>
    </row>
    <row r="142" spans="1:8" s="102" customFormat="1" ht="13.5">
      <c r="A142" s="104"/>
      <c r="F142" s="105"/>
      <c r="G142" s="105"/>
      <c r="H142" s="105"/>
    </row>
    <row r="143" spans="1:8" s="102" customFormat="1" ht="13.5">
      <c r="A143" s="104"/>
      <c r="F143" s="105"/>
      <c r="G143" s="105"/>
      <c r="H143" s="105"/>
    </row>
    <row r="144" spans="1:8" s="102" customFormat="1" ht="13.5">
      <c r="A144" s="104"/>
      <c r="F144" s="105"/>
      <c r="G144" s="105"/>
      <c r="H144" s="105"/>
    </row>
    <row r="145" spans="1:8" s="102" customFormat="1" ht="13.5">
      <c r="A145" s="104"/>
      <c r="F145" s="105"/>
      <c r="G145" s="105"/>
      <c r="H145" s="105"/>
    </row>
    <row r="146" spans="1:8" s="102" customFormat="1" ht="13.5">
      <c r="A146" s="104"/>
      <c r="F146" s="105"/>
      <c r="G146" s="105"/>
      <c r="H146" s="105"/>
    </row>
    <row r="147" spans="1:8" s="102" customFormat="1" ht="13.5">
      <c r="A147" s="104"/>
      <c r="F147" s="105"/>
      <c r="G147" s="105"/>
      <c r="H147" s="105"/>
    </row>
    <row r="148" spans="1:8" s="102" customFormat="1" ht="13.5">
      <c r="A148" s="104"/>
      <c r="F148" s="105"/>
      <c r="G148" s="105"/>
      <c r="H148" s="105"/>
    </row>
    <row r="149" spans="1:8" s="102" customFormat="1" ht="13.5">
      <c r="A149" s="104"/>
      <c r="F149" s="105"/>
      <c r="G149" s="105"/>
      <c r="H149" s="105"/>
    </row>
    <row r="150" spans="1:8" s="102" customFormat="1" ht="13.5">
      <c r="A150" s="104"/>
      <c r="F150" s="105"/>
      <c r="G150" s="105"/>
      <c r="H150" s="105"/>
    </row>
    <row r="151" spans="1:8" s="102" customFormat="1" ht="13.5">
      <c r="A151" s="104"/>
      <c r="F151" s="105"/>
      <c r="G151" s="105"/>
      <c r="H151" s="105"/>
    </row>
    <row r="152" spans="1:8" s="102" customFormat="1" ht="13.5">
      <c r="A152" s="104"/>
      <c r="F152" s="105"/>
      <c r="G152" s="105"/>
      <c r="H152" s="105"/>
    </row>
    <row r="153" spans="1:8" s="102" customFormat="1" ht="13.5">
      <c r="A153" s="104"/>
      <c r="F153" s="105"/>
      <c r="G153" s="105"/>
      <c r="H153" s="105"/>
    </row>
    <row r="154" spans="1:8" s="102" customFormat="1" ht="13.5">
      <c r="A154" s="104"/>
      <c r="F154" s="105"/>
      <c r="G154" s="105"/>
      <c r="H154" s="105"/>
    </row>
    <row r="155" spans="1:8" s="102" customFormat="1" ht="13.5">
      <c r="A155" s="104"/>
      <c r="F155" s="105"/>
      <c r="G155" s="105"/>
      <c r="H155" s="105"/>
    </row>
    <row r="156" spans="1:8" s="102" customFormat="1" ht="13.5">
      <c r="A156" s="104"/>
      <c r="F156" s="105"/>
      <c r="G156" s="105"/>
      <c r="H156" s="105"/>
    </row>
    <row r="157" spans="1:8" s="102" customFormat="1" ht="13.5">
      <c r="A157" s="104"/>
      <c r="F157" s="105"/>
      <c r="G157" s="105"/>
      <c r="H157" s="105"/>
    </row>
    <row r="158" spans="1:8" s="102" customFormat="1" ht="13.5">
      <c r="A158" s="104"/>
      <c r="F158" s="105"/>
      <c r="G158" s="105"/>
      <c r="H158" s="105"/>
    </row>
    <row r="159" spans="1:8" s="102" customFormat="1" ht="13.5">
      <c r="A159" s="104"/>
      <c r="F159" s="105"/>
      <c r="G159" s="105"/>
      <c r="H159" s="105"/>
    </row>
    <row r="160" spans="1:8" s="102" customFormat="1" ht="13.5">
      <c r="A160" s="104"/>
      <c r="F160" s="105"/>
      <c r="G160" s="105"/>
      <c r="H160" s="105"/>
    </row>
    <row r="161" spans="1:8" s="102" customFormat="1" ht="13.5">
      <c r="A161" s="104"/>
      <c r="F161" s="105"/>
      <c r="G161" s="105"/>
      <c r="H161" s="105"/>
    </row>
    <row r="162" spans="1:8" s="102" customFormat="1" ht="13.5">
      <c r="A162" s="104"/>
      <c r="F162" s="105"/>
      <c r="G162" s="105"/>
      <c r="H162" s="105"/>
    </row>
    <row r="163" spans="1:8" s="102" customFormat="1" ht="13.5">
      <c r="A163" s="104"/>
      <c r="F163" s="105"/>
      <c r="G163" s="105"/>
      <c r="H163" s="105"/>
    </row>
    <row r="164" spans="1:8" s="102" customFormat="1" ht="13.5">
      <c r="A164" s="104"/>
      <c r="F164" s="105"/>
      <c r="G164" s="105"/>
      <c r="H164" s="105"/>
    </row>
    <row r="165" spans="1:8" s="102" customFormat="1" ht="13.5">
      <c r="A165" s="104"/>
      <c r="F165" s="105"/>
      <c r="G165" s="105"/>
      <c r="H165" s="105"/>
    </row>
    <row r="166" spans="1:8" s="102" customFormat="1" ht="13.5">
      <c r="A166" s="104"/>
      <c r="F166" s="105"/>
      <c r="G166" s="105"/>
      <c r="H166" s="105"/>
    </row>
    <row r="167" spans="1:8" s="102" customFormat="1" ht="13.5">
      <c r="A167" s="104"/>
      <c r="F167" s="105"/>
      <c r="G167" s="105"/>
      <c r="H167" s="105"/>
    </row>
  </sheetData>
  <mergeCells count="2">
    <mergeCell ref="A1:H1"/>
    <mergeCell ref="H5:H7"/>
  </mergeCells>
  <printOptions horizontalCentered="1"/>
  <pageMargins left="0.5" right="0.5" top="1.5" bottom="1.5" header="1.5" footer="1.5"/>
  <pageSetup scale="73" fitToHeight="0" orientation="portrait" r:id="rId1"/>
  <rowBreaks count="1" manualBreakCount="1">
    <brk id="65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7EBC-B4C3-46EB-82C9-F23602E6E4DB}">
  <sheetPr>
    <tabColor theme="4" tint="0.39997558519241921"/>
    <pageSetUpPr fitToPage="1"/>
  </sheetPr>
  <dimension ref="A1:R72"/>
  <sheetViews>
    <sheetView topLeftCell="C1" zoomScale="160" zoomScaleNormal="160" zoomScaleSheetLayoutView="100" workbookViewId="0">
      <selection activeCell="J6" sqref="J6"/>
    </sheetView>
  </sheetViews>
  <sheetFormatPr defaultColWidth="9.140625" defaultRowHeight="12.75"/>
  <cols>
    <col min="1" max="1" width="6.42578125" style="106" customWidth="1"/>
    <col min="2" max="2" width="7.85546875" style="99" customWidth="1"/>
    <col min="3" max="3" width="32.5703125" style="99" customWidth="1"/>
    <col min="4" max="4" width="8.5703125" style="99" customWidth="1"/>
    <col min="5" max="5" width="10.7109375" style="99" customWidth="1"/>
    <col min="6" max="7" width="10.7109375" style="107" customWidth="1"/>
    <col min="8" max="8" width="34" style="107" customWidth="1"/>
    <col min="9" max="16384" width="9.140625" style="99"/>
  </cols>
  <sheetData>
    <row r="1" spans="1:18" ht="24" customHeight="1" thickBot="1">
      <c r="A1" s="188"/>
      <c r="B1" s="189"/>
      <c r="C1" s="189"/>
      <c r="D1" s="189"/>
      <c r="E1" s="189"/>
      <c r="F1" s="189"/>
      <c r="G1" s="189"/>
      <c r="H1" s="190"/>
    </row>
    <row r="2" spans="1:18" ht="18" customHeight="1">
      <c r="A2" s="2" t="s">
        <v>330</v>
      </c>
      <c r="B2" s="3"/>
      <c r="C2" s="4"/>
      <c r="D2" s="4"/>
      <c r="E2" s="4"/>
      <c r="F2" s="5"/>
      <c r="G2" s="5"/>
      <c r="H2" s="100"/>
    </row>
    <row r="3" spans="1:18" s="101" customFormat="1" ht="18" customHeight="1">
      <c r="A3" s="965"/>
      <c r="B3" s="966"/>
      <c r="C3" s="966"/>
      <c r="D3" s="966"/>
      <c r="E3" s="966"/>
      <c r="F3" s="966"/>
      <c r="G3" s="966"/>
      <c r="H3" s="967"/>
    </row>
    <row r="4" spans="1:18" s="102" customFormat="1" ht="13.5">
      <c r="A4" s="8"/>
      <c r="B4" s="9"/>
      <c r="C4" s="10" t="s">
        <v>1</v>
      </c>
      <c r="D4" s="11">
        <f>G31</f>
        <v>1304</v>
      </c>
      <c r="E4" s="12"/>
      <c r="F4" s="12"/>
      <c r="G4" s="12"/>
      <c r="H4" s="196"/>
    </row>
    <row r="5" spans="1:18" s="102" customFormat="1" ht="13.5">
      <c r="A5" s="968"/>
      <c r="B5" s="969"/>
      <c r="C5" s="970" t="s">
        <v>2</v>
      </c>
      <c r="D5" s="971">
        <v>1.25</v>
      </c>
      <c r="E5" s="972"/>
      <c r="F5" s="972"/>
      <c r="G5" s="973"/>
      <c r="H5" s="196"/>
    </row>
    <row r="6" spans="1:18" s="102" customFormat="1" ht="18.75" customHeight="1">
      <c r="A6" s="974"/>
      <c r="B6" s="975"/>
      <c r="C6" s="976" t="s">
        <v>3</v>
      </c>
      <c r="D6" s="11">
        <f>D4*D5</f>
        <v>1630</v>
      </c>
      <c r="E6" s="972"/>
      <c r="F6" s="972"/>
      <c r="G6" s="977"/>
      <c r="H6" s="196"/>
    </row>
    <row r="7" spans="1:18" s="102" customFormat="1" ht="11.25" customHeight="1">
      <c r="A7" s="978"/>
      <c r="B7" s="979"/>
      <c r="C7" s="15"/>
      <c r="D7" s="980"/>
      <c r="E7" s="981"/>
      <c r="F7" s="982"/>
      <c r="G7" s="983"/>
      <c r="H7" s="197"/>
    </row>
    <row r="8" spans="1:18" s="102" customFormat="1" ht="12" customHeight="1">
      <c r="A8" s="984"/>
      <c r="B8" s="16"/>
      <c r="C8" s="16"/>
      <c r="D8" s="985"/>
      <c r="E8" s="986" t="s">
        <v>4</v>
      </c>
      <c r="F8" s="986" t="s">
        <v>5</v>
      </c>
      <c r="G8" s="986" t="s">
        <v>6</v>
      </c>
      <c r="H8" s="987" t="s">
        <v>7</v>
      </c>
    </row>
    <row r="9" spans="1:18" s="39" customFormat="1" ht="13.5">
      <c r="A9" s="802" t="s">
        <v>331</v>
      </c>
      <c r="B9" s="149"/>
      <c r="C9" s="150"/>
      <c r="D9" s="151"/>
      <c r="E9" s="151"/>
      <c r="F9" s="152"/>
      <c r="G9" s="152"/>
      <c r="H9" s="803"/>
      <c r="I9" s="102"/>
      <c r="J9" s="102"/>
    </row>
    <row r="10" spans="1:18" s="39" customFormat="1" ht="13.5">
      <c r="A10" s="988"/>
      <c r="B10" s="989"/>
      <c r="C10" s="990" t="s">
        <v>332</v>
      </c>
      <c r="D10" s="991"/>
      <c r="E10" s="992">
        <v>0</v>
      </c>
      <c r="F10" s="993">
        <v>60</v>
      </c>
      <c r="G10" s="994">
        <f>E10*F10</f>
        <v>0</v>
      </c>
      <c r="H10" s="995"/>
      <c r="I10" s="102"/>
      <c r="J10" s="102"/>
    </row>
    <row r="11" spans="1:18" s="39" customFormat="1" ht="13.5">
      <c r="A11" s="802" t="s">
        <v>333</v>
      </c>
      <c r="B11" s="149"/>
      <c r="C11" s="150"/>
      <c r="D11" s="151"/>
      <c r="E11" s="151"/>
      <c r="F11" s="152"/>
      <c r="G11" s="153"/>
      <c r="H11" s="803"/>
      <c r="I11" s="102"/>
      <c r="J11" s="102"/>
      <c r="K11" s="102"/>
      <c r="L11" s="102"/>
      <c r="M11" s="102"/>
      <c r="N11" s="102"/>
      <c r="O11" s="102"/>
      <c r="P11" s="102"/>
      <c r="Q11" s="102"/>
      <c r="R11" s="102"/>
    </row>
    <row r="12" spans="1:18" s="39" customFormat="1" ht="13.5">
      <c r="A12" s="988"/>
      <c r="B12" s="989"/>
      <c r="C12" s="990" t="s">
        <v>334</v>
      </c>
      <c r="D12" s="991"/>
      <c r="E12" s="992">
        <v>1</v>
      </c>
      <c r="F12" s="996">
        <v>160</v>
      </c>
      <c r="G12" s="994">
        <f>E12*F12</f>
        <v>160</v>
      </c>
      <c r="H12" s="995"/>
      <c r="I12" s="102"/>
      <c r="J12" s="102"/>
      <c r="K12" s="102"/>
      <c r="L12" s="102"/>
      <c r="M12" s="102"/>
      <c r="N12" s="102"/>
      <c r="O12" s="102"/>
      <c r="P12" s="102"/>
      <c r="Q12" s="102"/>
      <c r="R12" s="102"/>
    </row>
    <row r="13" spans="1:18" s="42" customFormat="1" ht="13.5">
      <c r="A13" s="988"/>
      <c r="B13" s="989"/>
      <c r="C13" s="990" t="s">
        <v>335</v>
      </c>
      <c r="D13" s="997"/>
      <c r="E13" s="998">
        <v>1</v>
      </c>
      <c r="F13" s="996">
        <v>180</v>
      </c>
      <c r="G13" s="999">
        <f>E13*F13</f>
        <v>180</v>
      </c>
      <c r="H13" s="995"/>
      <c r="I13" s="102"/>
      <c r="J13" s="102"/>
      <c r="K13" s="102"/>
      <c r="L13" s="102"/>
      <c r="M13" s="102"/>
      <c r="N13" s="102"/>
      <c r="O13" s="102"/>
      <c r="P13" s="102"/>
      <c r="Q13" s="102"/>
      <c r="R13" s="102"/>
    </row>
    <row r="14" spans="1:18" s="42" customFormat="1" ht="13.5">
      <c r="A14" s="988"/>
      <c r="B14" s="989"/>
      <c r="C14" s="990" t="s">
        <v>336</v>
      </c>
      <c r="D14" s="997"/>
      <c r="E14" s="998">
        <v>1</v>
      </c>
      <c r="F14" s="993">
        <v>140</v>
      </c>
      <c r="G14" s="999">
        <f>E14*F14</f>
        <v>140</v>
      </c>
      <c r="H14" s="995"/>
      <c r="I14" s="102"/>
      <c r="J14" s="102"/>
      <c r="K14" s="102"/>
      <c r="L14" s="102"/>
      <c r="M14" s="102"/>
      <c r="N14" s="102"/>
      <c r="O14" s="102"/>
      <c r="P14" s="102"/>
      <c r="Q14" s="102"/>
      <c r="R14" s="102"/>
    </row>
    <row r="15" spans="1:18" s="39" customFormat="1" ht="13.5">
      <c r="A15" s="988"/>
      <c r="B15" s="989"/>
      <c r="C15" s="1000" t="s">
        <v>337</v>
      </c>
      <c r="D15" s="1001"/>
      <c r="E15" s="1002">
        <v>1</v>
      </c>
      <c r="F15" s="1003">
        <v>100</v>
      </c>
      <c r="G15" s="994">
        <f>E15*F15</f>
        <v>100</v>
      </c>
      <c r="H15" s="995"/>
      <c r="I15" s="102"/>
      <c r="J15" s="102"/>
    </row>
    <row r="16" spans="1:18" s="39" customFormat="1" ht="13.5">
      <c r="A16" s="802" t="s">
        <v>338</v>
      </c>
      <c r="B16" s="149"/>
      <c r="C16" s="150"/>
      <c r="D16" s="151"/>
      <c r="E16" s="151"/>
      <c r="F16" s="152"/>
      <c r="G16" s="153"/>
      <c r="H16" s="803"/>
      <c r="I16" s="102"/>
      <c r="J16" s="102"/>
      <c r="K16" s="102"/>
      <c r="L16" s="102"/>
      <c r="M16" s="102"/>
      <c r="N16" s="102"/>
      <c r="O16" s="102"/>
      <c r="P16" s="102"/>
      <c r="Q16" s="102"/>
      <c r="R16" s="102"/>
    </row>
    <row r="17" spans="1:18" s="39" customFormat="1" ht="13.5">
      <c r="A17" s="988"/>
      <c r="B17" s="989"/>
      <c r="C17" s="1004" t="s">
        <v>339</v>
      </c>
      <c r="D17" s="991"/>
      <c r="E17" s="1005">
        <v>1</v>
      </c>
      <c r="F17" s="1006">
        <v>20</v>
      </c>
      <c r="G17" s="1007">
        <f>E17*F17</f>
        <v>20</v>
      </c>
      <c r="H17" s="995"/>
      <c r="I17" s="102"/>
      <c r="J17" s="102"/>
      <c r="K17" s="102"/>
      <c r="L17" s="102"/>
      <c r="M17" s="102"/>
      <c r="N17" s="102"/>
      <c r="O17" s="102"/>
      <c r="P17" s="102"/>
      <c r="Q17" s="102"/>
      <c r="R17" s="102"/>
    </row>
    <row r="18" spans="1:18" s="102" customFormat="1" ht="13.5">
      <c r="A18" s="988"/>
      <c r="B18" s="989"/>
      <c r="C18" s="1000" t="s">
        <v>275</v>
      </c>
      <c r="D18" s="997"/>
      <c r="E18" s="1008">
        <v>3</v>
      </c>
      <c r="F18" s="1003">
        <v>45</v>
      </c>
      <c r="G18" s="999">
        <f t="shared" ref="G18:G20" si="0">E18*F18</f>
        <v>135</v>
      </c>
      <c r="H18" s="995"/>
    </row>
    <row r="19" spans="1:18" s="102" customFormat="1" ht="13.5">
      <c r="A19" s="988"/>
      <c r="B19" s="989"/>
      <c r="C19" s="1000" t="s">
        <v>340</v>
      </c>
      <c r="D19" s="997"/>
      <c r="E19" s="1008">
        <v>1</v>
      </c>
      <c r="F19" s="1003">
        <v>60</v>
      </c>
      <c r="G19" s="999">
        <f t="shared" si="0"/>
        <v>60</v>
      </c>
      <c r="H19" s="995"/>
    </row>
    <row r="20" spans="1:18" s="102" customFormat="1" ht="13.5">
      <c r="A20" s="988"/>
      <c r="B20" s="989"/>
      <c r="C20" s="1000" t="s">
        <v>341</v>
      </c>
      <c r="D20" s="997"/>
      <c r="E20" s="1008">
        <v>1</v>
      </c>
      <c r="F20" s="1003">
        <v>80</v>
      </c>
      <c r="G20" s="999">
        <f t="shared" si="0"/>
        <v>80</v>
      </c>
      <c r="H20" s="995"/>
    </row>
    <row r="21" spans="1:18" s="102" customFormat="1" ht="13.5">
      <c r="A21" s="988"/>
      <c r="B21" s="989"/>
      <c r="C21" s="1009" t="s">
        <v>342</v>
      </c>
      <c r="D21" s="997"/>
      <c r="E21" s="1010">
        <v>1</v>
      </c>
      <c r="F21" s="1010">
        <v>40</v>
      </c>
      <c r="G21" s="999">
        <f>E21*F21</f>
        <v>40</v>
      </c>
      <c r="H21" s="995"/>
    </row>
    <row r="22" spans="1:18" s="102" customFormat="1" ht="13.5">
      <c r="A22" s="988"/>
      <c r="B22" s="989"/>
      <c r="C22" s="1009" t="s">
        <v>216</v>
      </c>
      <c r="D22" s="997"/>
      <c r="E22" s="1010">
        <v>1</v>
      </c>
      <c r="F22" s="1010">
        <v>5</v>
      </c>
      <c r="G22" s="999">
        <f>E22*F22</f>
        <v>5</v>
      </c>
      <c r="H22" s="995"/>
    </row>
    <row r="23" spans="1:18" s="102" customFormat="1" ht="13.5">
      <c r="A23" s="988"/>
      <c r="B23" s="989"/>
      <c r="C23" s="1000" t="s">
        <v>343</v>
      </c>
      <c r="D23" s="997"/>
      <c r="E23" s="1008">
        <v>1</v>
      </c>
      <c r="F23" s="1003">
        <v>60</v>
      </c>
      <c r="G23" s="999">
        <f t="shared" ref="G23:G24" si="1">E23*F23</f>
        <v>60</v>
      </c>
      <c r="H23" s="995"/>
    </row>
    <row r="24" spans="1:18" s="102" customFormat="1" ht="13.5">
      <c r="A24" s="988"/>
      <c r="B24" s="989"/>
      <c r="C24" s="1000" t="s">
        <v>344</v>
      </c>
      <c r="D24" s="997"/>
      <c r="E24" s="1008">
        <v>0</v>
      </c>
      <c r="F24" s="1003">
        <v>130</v>
      </c>
      <c r="G24" s="999">
        <f t="shared" si="1"/>
        <v>0</v>
      </c>
      <c r="H24" s="995"/>
    </row>
    <row r="25" spans="1:18" s="42" customFormat="1" ht="13.5">
      <c r="A25" s="988"/>
      <c r="B25" s="989"/>
      <c r="C25" s="1000" t="s">
        <v>345</v>
      </c>
      <c r="D25" s="997"/>
      <c r="E25" s="1008">
        <v>1</v>
      </c>
      <c r="F25" s="1011">
        <v>40</v>
      </c>
      <c r="G25" s="999">
        <f>E25*F25</f>
        <v>40</v>
      </c>
      <c r="H25" s="1012"/>
      <c r="I25" s="102"/>
      <c r="J25" s="102"/>
      <c r="K25" s="102"/>
      <c r="L25" s="102"/>
      <c r="M25" s="102"/>
      <c r="N25" s="102"/>
      <c r="O25" s="102"/>
      <c r="P25" s="102"/>
      <c r="Q25" s="102"/>
      <c r="R25" s="102"/>
    </row>
    <row r="26" spans="1:18" s="42" customFormat="1" ht="13.5">
      <c r="A26" s="988"/>
      <c r="B26" s="989"/>
      <c r="C26" s="1000" t="s">
        <v>346</v>
      </c>
      <c r="D26" s="997"/>
      <c r="E26" s="1008">
        <v>1</v>
      </c>
      <c r="F26" s="1011">
        <v>24</v>
      </c>
      <c r="G26" s="999">
        <f>E26*F26</f>
        <v>24</v>
      </c>
      <c r="H26" s="1012"/>
      <c r="I26" s="102"/>
      <c r="J26" s="102"/>
      <c r="K26" s="102"/>
      <c r="L26" s="102"/>
      <c r="M26" s="102"/>
      <c r="N26" s="102"/>
      <c r="O26" s="102"/>
      <c r="P26" s="102"/>
      <c r="Q26" s="102"/>
      <c r="R26" s="102"/>
    </row>
    <row r="27" spans="1:18" s="42" customFormat="1" ht="13.5">
      <c r="A27" s="988"/>
      <c r="B27" s="989"/>
      <c r="C27" s="990" t="s">
        <v>347</v>
      </c>
      <c r="D27" s="997"/>
      <c r="E27" s="992">
        <v>1</v>
      </c>
      <c r="F27" s="993">
        <v>120</v>
      </c>
      <c r="G27" s="999">
        <f t="shared" ref="G27:G28" si="2">E27*F27</f>
        <v>120</v>
      </c>
      <c r="H27" s="995"/>
      <c r="I27" s="102"/>
      <c r="J27" s="102"/>
      <c r="K27" s="102"/>
      <c r="L27" s="102"/>
      <c r="M27" s="102"/>
      <c r="N27" s="102"/>
      <c r="O27" s="102"/>
      <c r="P27" s="102"/>
      <c r="Q27" s="102"/>
      <c r="R27" s="102"/>
    </row>
    <row r="28" spans="1:18" s="42" customFormat="1" ht="13.5">
      <c r="A28" s="988"/>
      <c r="B28" s="989"/>
      <c r="C28" s="1009" t="s">
        <v>348</v>
      </c>
      <c r="D28" s="997"/>
      <c r="E28" s="1010">
        <v>1</v>
      </c>
      <c r="F28" s="1010">
        <v>40</v>
      </c>
      <c r="G28" s="999">
        <f t="shared" si="2"/>
        <v>40</v>
      </c>
      <c r="H28" s="995"/>
      <c r="I28" s="102"/>
      <c r="J28" s="102"/>
      <c r="K28" s="102"/>
      <c r="L28" s="102"/>
      <c r="M28" s="102"/>
      <c r="N28" s="102"/>
      <c r="O28" s="102"/>
      <c r="P28" s="102"/>
      <c r="Q28" s="102"/>
      <c r="R28" s="102"/>
    </row>
    <row r="29" spans="1:18" s="102" customFormat="1" ht="13.5">
      <c r="A29" s="988"/>
      <c r="B29" s="989"/>
      <c r="C29" s="1013" t="s">
        <v>55</v>
      </c>
      <c r="D29" s="991"/>
      <c r="E29" s="999">
        <v>1</v>
      </c>
      <c r="F29" s="1014">
        <v>100</v>
      </c>
      <c r="G29" s="1015">
        <f>E29*F29</f>
        <v>100</v>
      </c>
      <c r="H29" s="1016"/>
    </row>
    <row r="30" spans="1:18" s="102" customFormat="1" ht="13.5">
      <c r="A30" s="988"/>
      <c r="B30" s="989"/>
      <c r="C30" s="1017" t="s">
        <v>50</v>
      </c>
      <c r="D30" s="991"/>
      <c r="E30" s="1018">
        <v>1</v>
      </c>
      <c r="F30" s="1014">
        <v>40</v>
      </c>
      <c r="G30" s="1019">
        <f>E30*F30</f>
        <v>40</v>
      </c>
      <c r="H30" s="995"/>
    </row>
    <row r="31" spans="1:18" s="39" customFormat="1" ht="11.25" customHeight="1">
      <c r="A31" s="23"/>
      <c r="B31" s="24"/>
      <c r="C31" s="30"/>
      <c r="D31" s="25"/>
      <c r="E31" s="26"/>
      <c r="F31" s="27" t="s">
        <v>15</v>
      </c>
      <c r="G31" s="28">
        <f>SUM(G10:G29)</f>
        <v>1304</v>
      </c>
      <c r="H31" s="29"/>
      <c r="I31" s="102"/>
      <c r="J31" s="102"/>
    </row>
    <row r="32" spans="1:18" s="39" customFormat="1" ht="11.25" customHeight="1">
      <c r="A32" s="1020"/>
      <c r="B32" s="1021"/>
      <c r="C32" s="1022"/>
      <c r="D32" s="1023"/>
      <c r="E32" s="1024"/>
      <c r="F32" s="1025" t="s">
        <v>16</v>
      </c>
      <c r="G32" s="1026">
        <v>1.25</v>
      </c>
      <c r="H32" s="1027"/>
      <c r="I32" s="102"/>
      <c r="J32" s="102"/>
    </row>
    <row r="33" spans="1:8" s="39" customFormat="1" ht="11.25" customHeight="1">
      <c r="A33" s="1028"/>
      <c r="B33" s="1029"/>
      <c r="C33" s="1030"/>
      <c r="D33" s="1031"/>
      <c r="E33" s="1032"/>
      <c r="F33" s="1033" t="s">
        <v>17</v>
      </c>
      <c r="G33" s="1034">
        <f>G31*G32</f>
        <v>1630</v>
      </c>
      <c r="H33" s="1035"/>
    </row>
    <row r="34" spans="1:8" s="102" customFormat="1" ht="13.5">
      <c r="A34" s="104"/>
      <c r="F34" s="105"/>
      <c r="G34" s="105"/>
      <c r="H34" s="105"/>
    </row>
    <row r="35" spans="1:8" s="102" customFormat="1" ht="13.5">
      <c r="A35" s="104"/>
      <c r="F35" s="105"/>
      <c r="G35" s="105"/>
      <c r="H35" s="105"/>
    </row>
    <row r="36" spans="1:8" s="102" customFormat="1" ht="13.5">
      <c r="A36" s="104"/>
      <c r="F36" s="105"/>
      <c r="G36" s="105"/>
      <c r="H36" s="105"/>
    </row>
    <row r="37" spans="1:8" s="102" customFormat="1" ht="13.5">
      <c r="A37" s="104"/>
      <c r="F37" s="105"/>
      <c r="G37" s="105"/>
      <c r="H37" s="105"/>
    </row>
    <row r="38" spans="1:8" s="102" customFormat="1" ht="13.5">
      <c r="A38" s="104"/>
      <c r="F38" s="105"/>
      <c r="G38" s="105"/>
      <c r="H38" s="105"/>
    </row>
    <row r="39" spans="1:8" s="102" customFormat="1" ht="13.5">
      <c r="A39" s="104"/>
      <c r="F39" s="105"/>
      <c r="G39" s="105"/>
      <c r="H39" s="105"/>
    </row>
    <row r="40" spans="1:8" s="102" customFormat="1" ht="13.5">
      <c r="A40" s="104"/>
      <c r="F40" s="105"/>
      <c r="G40" s="105"/>
      <c r="H40" s="105"/>
    </row>
    <row r="41" spans="1:8" s="102" customFormat="1" ht="13.5">
      <c r="A41" s="104"/>
      <c r="F41" s="105"/>
      <c r="G41" s="105"/>
      <c r="H41" s="105"/>
    </row>
    <row r="42" spans="1:8" s="102" customFormat="1" ht="13.5">
      <c r="A42" s="104"/>
      <c r="F42" s="105"/>
      <c r="G42" s="105"/>
      <c r="H42" s="105"/>
    </row>
    <row r="43" spans="1:8" s="102" customFormat="1" ht="13.5">
      <c r="A43" s="104"/>
      <c r="F43" s="105"/>
      <c r="G43" s="105"/>
      <c r="H43" s="105"/>
    </row>
    <row r="44" spans="1:8" s="102" customFormat="1" ht="13.5">
      <c r="A44" s="104"/>
      <c r="F44" s="105"/>
      <c r="G44" s="105"/>
      <c r="H44" s="105"/>
    </row>
    <row r="45" spans="1:8" s="102" customFormat="1" ht="13.5">
      <c r="A45" s="104"/>
      <c r="F45" s="105"/>
      <c r="G45" s="105"/>
      <c r="H45" s="105"/>
    </row>
    <row r="46" spans="1:8" s="102" customFormat="1" ht="13.5">
      <c r="A46" s="104"/>
      <c r="F46" s="105"/>
      <c r="G46" s="105"/>
      <c r="H46" s="105"/>
    </row>
    <row r="47" spans="1:8" s="102" customFormat="1" ht="13.5">
      <c r="A47" s="104"/>
      <c r="F47" s="105"/>
      <c r="G47" s="105"/>
      <c r="H47" s="105"/>
    </row>
    <row r="48" spans="1:8" s="102" customFormat="1" ht="13.5">
      <c r="A48" s="104"/>
      <c r="F48" s="105"/>
      <c r="G48" s="105"/>
      <c r="H48" s="105"/>
    </row>
    <row r="49" spans="1:8" s="102" customFormat="1" ht="13.5">
      <c r="A49" s="104"/>
      <c r="F49" s="105"/>
      <c r="G49" s="105"/>
      <c r="H49" s="105"/>
    </row>
    <row r="50" spans="1:8" s="102" customFormat="1" ht="13.5">
      <c r="A50" s="104"/>
      <c r="F50" s="105"/>
      <c r="G50" s="105"/>
      <c r="H50" s="105"/>
    </row>
    <row r="51" spans="1:8" s="102" customFormat="1" ht="13.5">
      <c r="A51" s="104"/>
      <c r="F51" s="105"/>
      <c r="G51" s="105"/>
      <c r="H51" s="105"/>
    </row>
    <row r="52" spans="1:8" s="102" customFormat="1" ht="13.5">
      <c r="A52" s="104"/>
      <c r="F52" s="105"/>
      <c r="G52" s="105"/>
      <c r="H52" s="105"/>
    </row>
    <row r="53" spans="1:8" s="102" customFormat="1" ht="13.5">
      <c r="A53" s="104"/>
      <c r="F53" s="105"/>
      <c r="G53" s="105"/>
      <c r="H53" s="105"/>
    </row>
    <row r="54" spans="1:8" s="102" customFormat="1" ht="13.5">
      <c r="A54" s="104"/>
      <c r="F54" s="105"/>
      <c r="G54" s="105"/>
      <c r="H54" s="105"/>
    </row>
    <row r="55" spans="1:8" s="102" customFormat="1" ht="13.5">
      <c r="A55" s="104"/>
      <c r="F55" s="105"/>
      <c r="G55" s="105"/>
      <c r="H55" s="105"/>
    </row>
    <row r="56" spans="1:8" s="102" customFormat="1" ht="13.5">
      <c r="A56" s="104"/>
      <c r="F56" s="105"/>
      <c r="G56" s="105"/>
      <c r="H56" s="105"/>
    </row>
    <row r="57" spans="1:8" s="102" customFormat="1" ht="13.5">
      <c r="A57" s="104"/>
      <c r="F57" s="105"/>
      <c r="G57" s="105"/>
      <c r="H57" s="105"/>
    </row>
    <row r="58" spans="1:8" s="102" customFormat="1" ht="13.5">
      <c r="A58" s="104"/>
      <c r="F58" s="105"/>
      <c r="G58" s="105"/>
      <c r="H58" s="105"/>
    </row>
    <row r="59" spans="1:8" s="102" customFormat="1" ht="13.5">
      <c r="A59" s="104"/>
      <c r="F59" s="105"/>
      <c r="G59" s="105"/>
      <c r="H59" s="105"/>
    </row>
    <row r="60" spans="1:8" s="102" customFormat="1" ht="13.5">
      <c r="A60" s="104"/>
      <c r="F60" s="105"/>
      <c r="G60" s="105"/>
      <c r="H60" s="105"/>
    </row>
    <row r="61" spans="1:8" s="102" customFormat="1" ht="13.5">
      <c r="A61" s="104"/>
      <c r="F61" s="105"/>
      <c r="G61" s="105"/>
      <c r="H61" s="105"/>
    </row>
    <row r="62" spans="1:8" s="102" customFormat="1" ht="13.5">
      <c r="A62" s="104"/>
      <c r="F62" s="105"/>
      <c r="G62" s="105"/>
      <c r="H62" s="105"/>
    </row>
    <row r="63" spans="1:8" s="102" customFormat="1" ht="13.5">
      <c r="A63" s="104"/>
      <c r="F63" s="105"/>
      <c r="G63" s="105"/>
      <c r="H63" s="105"/>
    </row>
    <row r="64" spans="1:8" s="102" customFormat="1" ht="13.5">
      <c r="A64" s="104"/>
      <c r="F64" s="105"/>
      <c r="G64" s="105"/>
      <c r="H64" s="105"/>
    </row>
    <row r="65" spans="1:8" s="102" customFormat="1" ht="13.5">
      <c r="A65" s="104"/>
      <c r="F65" s="105"/>
      <c r="G65" s="105"/>
      <c r="H65" s="105"/>
    </row>
    <row r="66" spans="1:8" s="102" customFormat="1" ht="13.5">
      <c r="A66" s="104"/>
      <c r="F66" s="105"/>
      <c r="G66" s="105"/>
      <c r="H66" s="105"/>
    </row>
    <row r="67" spans="1:8" s="102" customFormat="1" ht="13.5">
      <c r="A67" s="104"/>
      <c r="F67" s="105"/>
      <c r="G67" s="105"/>
      <c r="H67" s="105"/>
    </row>
    <row r="68" spans="1:8" s="102" customFormat="1" ht="13.5">
      <c r="A68" s="104"/>
      <c r="F68" s="105"/>
      <c r="G68" s="105"/>
      <c r="H68" s="105"/>
    </row>
    <row r="69" spans="1:8" s="102" customFormat="1" ht="13.5">
      <c r="A69" s="104"/>
      <c r="F69" s="105"/>
      <c r="G69" s="105"/>
      <c r="H69" s="105"/>
    </row>
    <row r="70" spans="1:8" s="102" customFormat="1" ht="13.5">
      <c r="A70" s="104"/>
      <c r="F70" s="105"/>
      <c r="G70" s="105"/>
      <c r="H70" s="105"/>
    </row>
    <row r="71" spans="1:8" s="102" customFormat="1" ht="13.5">
      <c r="A71" s="104"/>
      <c r="F71" s="105"/>
      <c r="G71" s="105"/>
      <c r="H71" s="105"/>
    </row>
    <row r="72" spans="1:8" s="102" customFormat="1" ht="13.5">
      <c r="A72" s="104"/>
      <c r="F72" s="105"/>
      <c r="G72" s="105"/>
      <c r="H72" s="105"/>
    </row>
  </sheetData>
  <mergeCells count="2">
    <mergeCell ref="A1:H1"/>
    <mergeCell ref="H4:H7"/>
  </mergeCells>
  <printOptions horizontalCentered="1"/>
  <pageMargins left="0.5" right="0.5" top="1.5" bottom="1.5" header="1.5" footer="1.5"/>
  <pageSetup scale="80" fitToHeight="0" orientation="portrait" r:id="rId1"/>
</worksheet>
</file>

<file path=docMetadata/LabelInfo.xml><?xml version="1.0" encoding="utf-8"?>
<clbl:labelList xmlns:clbl="http://schemas.microsoft.com/office/2020/mipLabelMetadata">
  <clbl:label id="{919f10b5-46a7-4780-a1ad-301b55e1c1e4}" enabled="1" method="Privileged" siteId="{3667e201-cbdc-48b3-9b42-5d2d3f16e2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HDR,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Tran, Chau</dc:creator>
  <cp:keywords/>
  <dc:description/>
  <cp:lastModifiedBy/>
  <cp:revision/>
  <dcterms:created xsi:type="dcterms:W3CDTF">2026-06-22T21:04:19Z</dcterms:created>
  <dcterms:modified xsi:type="dcterms:W3CDTF">2026-06-24T15:51:38Z</dcterms:modified>
  <cp:category/>
  <cp:contentStatus/>
</cp:coreProperties>
</file>