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mool\Documents\SYRACUSE\Architecture\Professional\Internships\HDR\Projects\signal\input_test\"/>
    </mc:Choice>
  </mc:AlternateContent>
  <xr:revisionPtr revIDLastSave="0" documentId="13_ncr:20001_{8B23088C-1E81-4B1C-9AD1-8EAE00385070}" xr6:coauthVersionLast="47" xr6:coauthVersionMax="47" xr10:uidLastSave="{00000000-0000-0000-0000-000000000000}"/>
  <bookViews>
    <workbookView xWindow="-110" yWindow="-110" windowWidth="25820" windowHeight="13900" tabRatio="1000" xr2:uid="{00000000-000D-0000-FFFF-FFFF00000000}"/>
  </bookViews>
  <sheets>
    <sheet name="Summary" sheetId="26" r:id="rId1"/>
    <sheet name="Typical Bed Unit-32 ICU" sheetId="1" r:id="rId2"/>
    <sheet name="Emergency Department" sheetId="2" r:id="rId3"/>
    <sheet name="Imaging and Diagnostics" sheetId="3" r:id="rId4"/>
    <sheet name="Surgery and Operating Suite" sheetId="4" r:id="rId5"/>
    <sheet name="Endoscopy and GI" sheetId="5" r:id="rId6"/>
    <sheet name="Labor and Delivery" sheetId="6" r:id="rId7"/>
    <sheet name="NICU" sheetId="7" r:id="rId8"/>
    <sheet name="Medical Surgical Unit" sheetId="8" r:id="rId9"/>
    <sheet name="Cardiology and Cath Lab" sheetId="9" r:id="rId10"/>
    <sheet name="Oncology Center" sheetId="10" r:id="rId11"/>
    <sheet name="Behavioral Health" sheetId="11" r:id="rId12"/>
    <sheet name="Rehabilitation Therapy" sheetId="12" r:id="rId13"/>
    <sheet name="Clinical Laboratory" sheetId="13" r:id="rId14"/>
    <sheet name="Pharmacy" sheetId="14" r:id="rId15"/>
    <sheet name="Central Sterile Processing" sheetId="15" r:id="rId16"/>
    <sheet name="Ambulatory Clinics" sheetId="16" r:id="rId17"/>
    <sheet name="Public Amenities" sheetId="17" r:id="rId18"/>
    <sheet name="Administration" sheetId="18" r:id="rId19"/>
    <sheet name="Nutrition and Food Service" sheetId="19" r:id="rId20"/>
    <sheet name="Materials Management" sheetId="20" r:id="rId21"/>
    <sheet name="Environmental Services" sheetId="21" r:id="rId22"/>
    <sheet name="Facilities MEP and HVAC" sheetId="22" r:id="rId23"/>
    <sheet name="IT Security and Command Center" sheetId="23" r:id="rId24"/>
    <sheet name="Education and Conference" sheetId="24" r:id="rId25"/>
    <sheet name="Renal Dialysis" sheetId="25" r:id="rId2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6" l="1"/>
  <c r="B8" i="26"/>
  <c r="D32" i="25"/>
  <c r="D28" i="25"/>
  <c r="D27" i="25"/>
  <c r="D26" i="25"/>
  <c r="D25" i="25"/>
  <c r="D24" i="25"/>
  <c r="D20" i="25"/>
  <c r="D19" i="25"/>
  <c r="D18" i="25"/>
  <c r="D17" i="25"/>
  <c r="D13" i="25"/>
  <c r="D12" i="25"/>
  <c r="D11" i="25"/>
  <c r="D10" i="25"/>
  <c r="D30" i="24"/>
  <c r="D26" i="24"/>
  <c r="D25" i="24"/>
  <c r="D24" i="24"/>
  <c r="D20" i="24"/>
  <c r="D19" i="24"/>
  <c r="D18" i="24"/>
  <c r="D17" i="24"/>
  <c r="D13" i="24"/>
  <c r="D12" i="24"/>
  <c r="D11" i="24"/>
  <c r="D10" i="24"/>
  <c r="D31" i="23"/>
  <c r="D27" i="23"/>
  <c r="D26" i="23"/>
  <c r="D25" i="23"/>
  <c r="D24" i="23"/>
  <c r="D20" i="23"/>
  <c r="D19" i="23"/>
  <c r="D18" i="23"/>
  <c r="D17" i="23"/>
  <c r="D13" i="23"/>
  <c r="D12" i="23"/>
  <c r="D11" i="23"/>
  <c r="D10" i="23"/>
  <c r="D40" i="22"/>
  <c r="D37" i="22"/>
  <c r="D36" i="22"/>
  <c r="D35" i="22"/>
  <c r="D34" i="22"/>
  <c r="D33" i="22"/>
  <c r="D29" i="22"/>
  <c r="D28" i="22"/>
  <c r="D27" i="22"/>
  <c r="D26" i="22"/>
  <c r="D22" i="22"/>
  <c r="D21" i="22"/>
  <c r="D20" i="22"/>
  <c r="D19" i="22"/>
  <c r="D18" i="22"/>
  <c r="D14" i="22"/>
  <c r="D13" i="22"/>
  <c r="D12" i="22"/>
  <c r="D11" i="22"/>
  <c r="D10" i="22"/>
  <c r="D30" i="21"/>
  <c r="D26" i="21"/>
  <c r="D25" i="21"/>
  <c r="D24" i="21"/>
  <c r="D20" i="21"/>
  <c r="D19" i="21"/>
  <c r="D18" i="21"/>
  <c r="D17" i="21"/>
  <c r="D13" i="21"/>
  <c r="D12" i="21"/>
  <c r="D11" i="21"/>
  <c r="D10" i="21"/>
  <c r="D31" i="20"/>
  <c r="D27" i="20"/>
  <c r="D26" i="20"/>
  <c r="D25" i="20"/>
  <c r="D21" i="20"/>
  <c r="D20" i="20"/>
  <c r="D19" i="20"/>
  <c r="D18" i="20"/>
  <c r="D17" i="20"/>
  <c r="D13" i="20"/>
  <c r="D12" i="20"/>
  <c r="D11" i="20"/>
  <c r="D10" i="20"/>
  <c r="D33" i="19"/>
  <c r="D29" i="19"/>
  <c r="D28" i="19"/>
  <c r="D27" i="19"/>
  <c r="D26" i="19"/>
  <c r="D22" i="19"/>
  <c r="D21" i="19"/>
  <c r="D20" i="19"/>
  <c r="D19" i="19"/>
  <c r="D18" i="19"/>
  <c r="D14" i="19"/>
  <c r="D13" i="19"/>
  <c r="D12" i="19"/>
  <c r="D11" i="19"/>
  <c r="D10" i="19"/>
  <c r="D26" i="18"/>
  <c r="D22" i="18"/>
  <c r="D21" i="18"/>
  <c r="D20" i="18"/>
  <c r="D19" i="18"/>
  <c r="D18" i="18"/>
  <c r="D14" i="18"/>
  <c r="D13" i="18"/>
  <c r="D12" i="18"/>
  <c r="D11" i="18"/>
  <c r="D10" i="18"/>
  <c r="D32" i="17"/>
  <c r="D28" i="17"/>
  <c r="D27" i="17"/>
  <c r="D26" i="17"/>
  <c r="D22" i="17"/>
  <c r="D21" i="17"/>
  <c r="D20" i="17"/>
  <c r="D19" i="17"/>
  <c r="D18" i="17"/>
  <c r="D14" i="17"/>
  <c r="D13" i="17"/>
  <c r="D12" i="17"/>
  <c r="D11" i="17"/>
  <c r="D10" i="17"/>
  <c r="D32" i="16"/>
  <c r="D28" i="16"/>
  <c r="D27" i="16"/>
  <c r="D26" i="16"/>
  <c r="D25" i="16"/>
  <c r="D24" i="16"/>
  <c r="D20" i="16"/>
  <c r="D19" i="16"/>
  <c r="D18" i="16"/>
  <c r="D17" i="16"/>
  <c r="D13" i="16"/>
  <c r="D12" i="16"/>
  <c r="D11" i="16"/>
  <c r="D10" i="16"/>
  <c r="D32" i="15"/>
  <c r="D29" i="15"/>
  <c r="D28" i="15"/>
  <c r="D27" i="15"/>
  <c r="D26" i="15"/>
  <c r="D25" i="15"/>
  <c r="D22" i="15"/>
  <c r="D21" i="15"/>
  <c r="D20" i="15"/>
  <c r="D19" i="15"/>
  <c r="D18" i="15"/>
  <c r="D17" i="15"/>
  <c r="D13" i="15"/>
  <c r="D12" i="15"/>
  <c r="D11" i="15"/>
  <c r="D10" i="15"/>
  <c r="D32" i="14"/>
  <c r="D28" i="14"/>
  <c r="D27" i="14"/>
  <c r="D26" i="14"/>
  <c r="D25" i="14"/>
  <c r="D24" i="14"/>
  <c r="D20" i="14"/>
  <c r="D19" i="14"/>
  <c r="D18" i="14"/>
  <c r="D17" i="14"/>
  <c r="D13" i="14"/>
  <c r="D12" i="14"/>
  <c r="D11" i="14"/>
  <c r="D10" i="14"/>
  <c r="D34" i="13"/>
  <c r="D30" i="13"/>
  <c r="D29" i="13"/>
  <c r="D28" i="13"/>
  <c r="D27" i="13"/>
  <c r="D26" i="13"/>
  <c r="D22" i="13"/>
  <c r="D21" i="13"/>
  <c r="D20" i="13"/>
  <c r="D19" i="13"/>
  <c r="D18" i="13"/>
  <c r="D17" i="13"/>
  <c r="D13" i="13"/>
  <c r="D12" i="13"/>
  <c r="D11" i="13"/>
  <c r="D10" i="13"/>
  <c r="D31" i="12"/>
  <c r="D27" i="12"/>
  <c r="D26" i="12"/>
  <c r="D25" i="12"/>
  <c r="D24" i="12"/>
  <c r="D20" i="12"/>
  <c r="D19" i="12"/>
  <c r="D18" i="12"/>
  <c r="D17" i="12"/>
  <c r="D16" i="12"/>
  <c r="D12" i="12"/>
  <c r="D11" i="12"/>
  <c r="D10" i="12"/>
  <c r="D34" i="11"/>
  <c r="D30" i="11"/>
  <c r="D29" i="11"/>
  <c r="D28" i="11"/>
  <c r="D27" i="11"/>
  <c r="D26" i="11"/>
  <c r="D22" i="11"/>
  <c r="D21" i="11"/>
  <c r="D20" i="11"/>
  <c r="D19" i="11"/>
  <c r="D18" i="11"/>
  <c r="D17" i="11"/>
  <c r="D13" i="11"/>
  <c r="D12" i="11"/>
  <c r="D11" i="11"/>
  <c r="D10" i="11"/>
  <c r="D34" i="10"/>
  <c r="D30" i="10"/>
  <c r="D29" i="10"/>
  <c r="D28" i="10"/>
  <c r="D27" i="10"/>
  <c r="D26" i="10"/>
  <c r="D22" i="10"/>
  <c r="D21" i="10"/>
  <c r="D20" i="10"/>
  <c r="D19" i="10"/>
  <c r="D18" i="10"/>
  <c r="D14" i="10"/>
  <c r="D13" i="10"/>
  <c r="D12" i="10"/>
  <c r="D11" i="10"/>
  <c r="D10" i="10"/>
  <c r="D33" i="9"/>
  <c r="D29" i="9"/>
  <c r="D28" i="9"/>
  <c r="D27" i="9"/>
  <c r="D26" i="9"/>
  <c r="D25" i="9"/>
  <c r="D21" i="9"/>
  <c r="D20" i="9"/>
  <c r="D19" i="9"/>
  <c r="D18" i="9"/>
  <c r="D17" i="9"/>
  <c r="D13" i="9"/>
  <c r="D12" i="9"/>
  <c r="D11" i="9"/>
  <c r="D10" i="9"/>
  <c r="D34" i="8"/>
  <c r="D30" i="8"/>
  <c r="D29" i="8"/>
  <c r="D28" i="8"/>
  <c r="D27" i="8"/>
  <c r="D26" i="8"/>
  <c r="D25" i="8"/>
  <c r="D21" i="8"/>
  <c r="D20" i="8"/>
  <c r="D19" i="8"/>
  <c r="D18" i="8"/>
  <c r="D17" i="8"/>
  <c r="D13" i="8"/>
  <c r="D12" i="8"/>
  <c r="D11" i="8"/>
  <c r="D10" i="8"/>
  <c r="D33" i="7"/>
  <c r="D29" i="7"/>
  <c r="D28" i="7"/>
  <c r="D27" i="7"/>
  <c r="D26" i="7"/>
  <c r="D25" i="7"/>
  <c r="D21" i="7"/>
  <c r="D20" i="7"/>
  <c r="D19" i="7"/>
  <c r="D18" i="7"/>
  <c r="D17" i="7"/>
  <c r="D13" i="7"/>
  <c r="D12" i="7"/>
  <c r="D11" i="7"/>
  <c r="D10" i="7"/>
  <c r="D35" i="6"/>
  <c r="D31" i="6"/>
  <c r="D30" i="6"/>
  <c r="D29" i="6"/>
  <c r="D28" i="6"/>
  <c r="D27" i="6"/>
  <c r="D26" i="6"/>
  <c r="D22" i="6"/>
  <c r="D21" i="6"/>
  <c r="D20" i="6"/>
  <c r="D19" i="6"/>
  <c r="D18" i="6"/>
  <c r="D17" i="6"/>
  <c r="D13" i="6"/>
  <c r="D12" i="6"/>
  <c r="D11" i="6"/>
  <c r="D10" i="6"/>
  <c r="D34" i="5"/>
  <c r="D30" i="5"/>
  <c r="D29" i="5"/>
  <c r="D28" i="5"/>
  <c r="D27" i="5"/>
  <c r="D26" i="5"/>
  <c r="D25" i="5"/>
  <c r="D21" i="5"/>
  <c r="D20" i="5"/>
  <c r="D19" i="5"/>
  <c r="D18" i="5"/>
  <c r="D17" i="5"/>
  <c r="D13" i="5"/>
  <c r="D12" i="5"/>
  <c r="D11" i="5"/>
  <c r="D10" i="5"/>
  <c r="D44" i="4"/>
  <c r="D40" i="4"/>
  <c r="D39" i="4"/>
  <c r="D38" i="4"/>
  <c r="D37" i="4"/>
  <c r="D36" i="4"/>
  <c r="D35" i="4"/>
  <c r="D34" i="4"/>
  <c r="D30" i="4"/>
  <c r="D29" i="4"/>
  <c r="D28" i="4"/>
  <c r="D27" i="4"/>
  <c r="D26" i="4"/>
  <c r="D25" i="4"/>
  <c r="D21" i="4"/>
  <c r="D20" i="4"/>
  <c r="D19" i="4"/>
  <c r="D18" i="4"/>
  <c r="D17" i="4"/>
  <c r="D13" i="4"/>
  <c r="D12" i="4"/>
  <c r="D11" i="4"/>
  <c r="D10" i="4"/>
  <c r="D38" i="3"/>
  <c r="D34" i="3"/>
  <c r="D33" i="3"/>
  <c r="D32" i="3"/>
  <c r="D31" i="3"/>
  <c r="D30" i="3"/>
  <c r="D29" i="3"/>
  <c r="D28" i="3"/>
  <c r="D24" i="3"/>
  <c r="D23" i="3"/>
  <c r="D22" i="3"/>
  <c r="D21" i="3"/>
  <c r="D20" i="3"/>
  <c r="D19" i="3"/>
  <c r="D18" i="3"/>
  <c r="D14" i="3"/>
  <c r="D13" i="3"/>
  <c r="D12" i="3"/>
  <c r="D11" i="3"/>
  <c r="D10" i="3"/>
  <c r="D48" i="2"/>
  <c r="D44" i="2"/>
  <c r="D43" i="2"/>
  <c r="D42" i="2"/>
  <c r="D41" i="2"/>
  <c r="D40" i="2"/>
  <c r="D39" i="2"/>
  <c r="D38" i="2"/>
  <c r="D34" i="2"/>
  <c r="D33" i="2"/>
  <c r="D32" i="2"/>
  <c r="D31" i="2"/>
  <c r="D30" i="2"/>
  <c r="D29" i="2"/>
  <c r="D28" i="2"/>
  <c r="D24" i="2"/>
  <c r="D23" i="2"/>
  <c r="D22" i="2"/>
  <c r="D21" i="2"/>
  <c r="D20" i="2"/>
  <c r="D16" i="2"/>
  <c r="D15" i="2"/>
  <c r="D14" i="2"/>
  <c r="D13" i="2"/>
  <c r="D12" i="2"/>
  <c r="D11" i="2"/>
  <c r="D10" i="2"/>
  <c r="D38" i="1"/>
  <c r="D34" i="1"/>
  <c r="D33" i="1"/>
  <c r="D32" i="1"/>
  <c r="D31" i="1"/>
  <c r="D30" i="1"/>
  <c r="D29" i="1"/>
  <c r="D25" i="1"/>
  <c r="D24" i="1"/>
  <c r="D23" i="1"/>
  <c r="D22" i="1"/>
  <c r="D21" i="1"/>
  <c r="D20" i="1"/>
  <c r="D19" i="1"/>
  <c r="D18" i="1"/>
  <c r="D14" i="1"/>
  <c r="D13" i="1"/>
  <c r="D12" i="1"/>
  <c r="D11" i="1"/>
  <c r="D10" i="1"/>
  <c r="D27" i="24" l="1"/>
  <c r="D28" i="23"/>
  <c r="D21" i="23"/>
  <c r="D14" i="23"/>
  <c r="C3" i="23" s="1"/>
  <c r="C5" i="23"/>
  <c r="D29" i="25"/>
  <c r="D21" i="25"/>
  <c r="D14" i="25"/>
  <c r="C3" i="25" s="1"/>
  <c r="C5" i="25"/>
  <c r="D21" i="24"/>
  <c r="D14" i="24"/>
  <c r="C3" i="24" s="1"/>
  <c r="C5" i="24"/>
  <c r="D30" i="22"/>
  <c r="D23" i="22"/>
  <c r="D15" i="22"/>
  <c r="D15" i="19"/>
  <c r="C3" i="19" s="1"/>
  <c r="D14" i="11"/>
  <c r="C3" i="11" s="1"/>
  <c r="B14" i="26" s="1"/>
  <c r="D23" i="10"/>
  <c r="D15" i="17"/>
  <c r="C3" i="17" s="1"/>
  <c r="C5" i="17"/>
  <c r="D14" i="15"/>
  <c r="C3" i="15" s="1"/>
  <c r="D29" i="14"/>
  <c r="D21" i="14"/>
  <c r="D14" i="14"/>
  <c r="C3" i="14" s="1"/>
  <c r="D31" i="13"/>
  <c r="D31" i="10"/>
  <c r="D30" i="9"/>
  <c r="D35" i="3"/>
  <c r="D15" i="3"/>
  <c r="C3" i="3" s="1"/>
  <c r="D23" i="13"/>
  <c r="D14" i="13"/>
  <c r="C3" i="13" s="1"/>
  <c r="D28" i="12"/>
  <c r="D21" i="12"/>
  <c r="D13" i="12"/>
  <c r="D23" i="11"/>
  <c r="D31" i="11"/>
  <c r="D45" i="2"/>
  <c r="D15" i="10"/>
  <c r="D22" i="8"/>
  <c r="D14" i="8"/>
  <c r="C3" i="8" s="1"/>
  <c r="C5" i="8"/>
  <c r="D30" i="7"/>
  <c r="D22" i="7"/>
  <c r="D14" i="7"/>
  <c r="C3" i="7" s="1"/>
  <c r="C5" i="7"/>
  <c r="D32" i="6"/>
  <c r="D23" i="6"/>
  <c r="D14" i="6"/>
  <c r="C3" i="6" s="1"/>
  <c r="C5" i="6"/>
  <c r="D31" i="5"/>
  <c r="D22" i="5"/>
  <c r="D41" i="4"/>
  <c r="D31" i="4"/>
  <c r="D22" i="4"/>
  <c r="D14" i="4"/>
  <c r="D14" i="5"/>
  <c r="C3" i="5" s="1"/>
  <c r="D33" i="5" s="1"/>
  <c r="C5" i="5"/>
  <c r="D35" i="2"/>
  <c r="D25" i="2"/>
  <c r="D17" i="2"/>
  <c r="C3" i="2" s="1"/>
  <c r="C5" i="2"/>
  <c r="D35" i="1"/>
  <c r="D26" i="1"/>
  <c r="D15" i="1"/>
  <c r="C3" i="1" s="1"/>
  <c r="C5" i="1"/>
  <c r="D28" i="20"/>
  <c r="D14" i="20"/>
  <c r="D29" i="17"/>
  <c r="D21" i="16"/>
  <c r="D22" i="9"/>
  <c r="D14" i="9"/>
  <c r="D31" i="8"/>
  <c r="D25" i="3"/>
  <c r="D27" i="21"/>
  <c r="D21" i="21"/>
  <c r="D14" i="21"/>
  <c r="C3" i="21" s="1"/>
  <c r="D22" i="20"/>
  <c r="D30" i="19"/>
  <c r="D23" i="19"/>
  <c r="D23" i="18"/>
  <c r="D15" i="18"/>
  <c r="C3" i="18" s="1"/>
  <c r="C5" i="18"/>
  <c r="D23" i="17"/>
  <c r="D29" i="16"/>
  <c r="D14" i="16"/>
  <c r="D30" i="23" l="1"/>
  <c r="B26" i="26"/>
  <c r="D32" i="23"/>
  <c r="D26" i="26"/>
  <c r="E3" i="23"/>
  <c r="D31" i="25"/>
  <c r="B28" i="26"/>
  <c r="D33" i="25"/>
  <c r="E3" i="25"/>
  <c r="D28" i="26"/>
  <c r="D29" i="24"/>
  <c r="B27" i="26"/>
  <c r="D31" i="24"/>
  <c r="D27" i="26"/>
  <c r="E3" i="24"/>
  <c r="B22" i="26"/>
  <c r="D32" i="19"/>
  <c r="B20" i="26"/>
  <c r="D31" i="17"/>
  <c r="D20" i="26"/>
  <c r="D33" i="17"/>
  <c r="E3" i="17"/>
  <c r="B18" i="26"/>
  <c r="D31" i="15"/>
  <c r="D31" i="14"/>
  <c r="B17" i="26"/>
  <c r="B6" i="26"/>
  <c r="C5" i="3"/>
  <c r="D33" i="13"/>
  <c r="B16" i="26"/>
  <c r="D33" i="8"/>
  <c r="B11" i="26"/>
  <c r="D11" i="26"/>
  <c r="D35" i="8"/>
  <c r="E3" i="8"/>
  <c r="D32" i="7"/>
  <c r="B10" i="26"/>
  <c r="D34" i="7"/>
  <c r="D10" i="26"/>
  <c r="E3" i="7"/>
  <c r="D34" i="6"/>
  <c r="B9" i="26"/>
  <c r="D36" i="6"/>
  <c r="D9" i="26"/>
  <c r="E3" i="6"/>
  <c r="D35" i="5"/>
  <c r="E3" i="5"/>
  <c r="D47" i="2"/>
  <c r="B5" i="26"/>
  <c r="D49" i="2"/>
  <c r="D5" i="26"/>
  <c r="E3" i="2"/>
  <c r="D37" i="1"/>
  <c r="B4" i="26"/>
  <c r="D39" i="1"/>
  <c r="D4" i="26"/>
  <c r="E3" i="1"/>
  <c r="C5" i="21"/>
  <c r="B24" i="26"/>
  <c r="D29" i="21"/>
  <c r="D25" i="18"/>
  <c r="B21" i="26"/>
  <c r="D27" i="18"/>
  <c r="D21" i="26"/>
  <c r="E3" i="18"/>
  <c r="C3" i="12"/>
  <c r="D33" i="11"/>
  <c r="C5" i="11"/>
  <c r="D37" i="3"/>
  <c r="C3" i="10"/>
  <c r="C3" i="4"/>
  <c r="C5" i="13"/>
  <c r="C3" i="20"/>
  <c r="C3" i="9"/>
  <c r="C3" i="16"/>
  <c r="C3" i="22"/>
  <c r="C5" i="19"/>
  <c r="C5" i="15"/>
  <c r="C5" i="14"/>
  <c r="D39" i="3" l="1"/>
  <c r="E3" i="3"/>
  <c r="D6" i="26"/>
  <c r="D24" i="26"/>
  <c r="D31" i="21"/>
  <c r="E3" i="21"/>
  <c r="B15" i="26"/>
  <c r="D30" i="12"/>
  <c r="C5" i="12"/>
  <c r="D14" i="26"/>
  <c r="E3" i="11"/>
  <c r="D35" i="11"/>
  <c r="B13" i="26"/>
  <c r="D33" i="10"/>
  <c r="C5" i="10"/>
  <c r="B7" i="26"/>
  <c r="B30" i="26" s="1"/>
  <c r="C5" i="4"/>
  <c r="D43" i="4"/>
  <c r="E3" i="13"/>
  <c r="D16" i="26"/>
  <c r="D35" i="13"/>
  <c r="D30" i="20"/>
  <c r="C5" i="20"/>
  <c r="B23" i="26"/>
  <c r="D32" i="9"/>
  <c r="C5" i="9"/>
  <c r="B12" i="26"/>
  <c r="B19" i="26"/>
  <c r="C5" i="16"/>
  <c r="D31" i="16"/>
  <c r="D39" i="22"/>
  <c r="B25" i="26"/>
  <c r="C5" i="22"/>
  <c r="E3" i="19"/>
  <c r="D34" i="19"/>
  <c r="D22" i="26"/>
  <c r="E3" i="15"/>
  <c r="D33" i="15"/>
  <c r="D18" i="26"/>
  <c r="E3" i="14"/>
  <c r="D17" i="26"/>
  <c r="D33" i="14"/>
  <c r="E3" i="12" l="1"/>
  <c r="D15" i="26"/>
  <c r="D32" i="12"/>
  <c r="E3" i="10"/>
  <c r="D13" i="26"/>
  <c r="D35" i="10"/>
  <c r="D7" i="26"/>
  <c r="D30" i="26" s="1"/>
  <c r="D45" i="4"/>
  <c r="E3" i="4"/>
  <c r="D32" i="20"/>
  <c r="E3" i="20"/>
  <c r="D23" i="26"/>
  <c r="D34" i="9"/>
  <c r="D12" i="26"/>
  <c r="E3" i="9"/>
  <c r="E3" i="16"/>
  <c r="D19" i="26"/>
  <c r="D33" i="16"/>
  <c r="E3" i="22"/>
  <c r="D41" i="22"/>
  <c r="D25" i="26"/>
</calcChain>
</file>

<file path=xl/sharedStrings.xml><?xml version="1.0" encoding="utf-8"?>
<sst xmlns="http://schemas.openxmlformats.org/spreadsheetml/2006/main" count="1052" uniqueCount="468">
  <si>
    <t>Typical Bed Unit-32 ICU</t>
  </si>
  <si>
    <t>Departmental Net Sq. Feet:</t>
  </si>
  <si>
    <t>Macro Program Placeholder:</t>
  </si>
  <si>
    <t>Departmental Grossing Factor:</t>
  </si>
  <si>
    <t>Departmental Gross Sq. Feet:</t>
  </si>
  <si>
    <t>Program</t>
  </si>
  <si>
    <t>Quantity</t>
  </si>
  <si>
    <t>NSF/Room</t>
  </si>
  <si>
    <t>Total NSF</t>
  </si>
  <si>
    <t>Floor</t>
  </si>
  <si>
    <t>Comment</t>
  </si>
  <si>
    <t>Public Area</t>
  </si>
  <si>
    <t>Waiting, Public</t>
  </si>
  <si>
    <t>Family lounge near elevator lobby</t>
  </si>
  <si>
    <t>Consult Room</t>
  </si>
  <si>
    <t>Acoustic privacy required</t>
  </si>
  <si>
    <t>Public Toilet</t>
  </si>
  <si>
    <t>Reception / Check-in</t>
  </si>
  <si>
    <t>Unit secretary</t>
  </si>
  <si>
    <t>Nourishment Area</t>
  </si>
  <si>
    <t>Accessible to families</t>
  </si>
  <si>
    <t>NSF Subtotal:</t>
  </si>
  <si>
    <t>Patient Care</t>
  </si>
  <si>
    <t>ICU Patient Room</t>
  </si>
  <si>
    <t>All rooms med gas and headwall</t>
  </si>
  <si>
    <t>Isolation ICU Room</t>
  </si>
  <si>
    <t>Negative pressure capability</t>
  </si>
  <si>
    <t>Patient Toilet/Shower</t>
  </si>
  <si>
    <t>Decentralized Charting Station</t>
  </si>
  <si>
    <t>1 per 4 rooms</t>
  </si>
  <si>
    <t>Medication Alcove</t>
  </si>
  <si>
    <t>Equipment Alcove</t>
  </si>
  <si>
    <t>Crash cart access</t>
  </si>
  <si>
    <t>Clean Supply</t>
  </si>
  <si>
    <t>Soiled Utility</t>
  </si>
  <si>
    <t>Staff Support</t>
  </si>
  <si>
    <t>Nurse Station</t>
  </si>
  <si>
    <t>Direct sight lines to corridors</t>
  </si>
  <si>
    <t>Team Workroom</t>
  </si>
  <si>
    <t>Staff Lounge</t>
  </si>
  <si>
    <t>Near staff elevators</t>
  </si>
  <si>
    <t>Staff Toilet</t>
  </si>
  <si>
    <t>On-call Room</t>
  </si>
  <si>
    <t>Medication Room</t>
  </si>
  <si>
    <t>Secure access</t>
  </si>
  <si>
    <t>Grossing Factor:</t>
  </si>
  <si>
    <t>DGSF Subtotal:</t>
  </si>
  <si>
    <t>Emergency Department</t>
  </si>
  <si>
    <t>Ambulance Entry Vestibule</t>
  </si>
  <si>
    <t>Weather protected</t>
  </si>
  <si>
    <t>Walk-in Entry Vestibule</t>
  </si>
  <si>
    <t>Security screening</t>
  </si>
  <si>
    <t>Waiting, Adult</t>
  </si>
  <si>
    <t>Visible from reception</t>
  </si>
  <si>
    <t>Waiting, Pediatric</t>
  </si>
  <si>
    <t>Separate from adult waiting</t>
  </si>
  <si>
    <t>Triage Reception</t>
  </si>
  <si>
    <t>Rapid intake</t>
  </si>
  <si>
    <t>Distributed</t>
  </si>
  <si>
    <t>Family Consult Room</t>
  </si>
  <si>
    <t>Quiet rooms</t>
  </si>
  <si>
    <t>Triage &amp; Intake</t>
  </si>
  <si>
    <t>Triage Bay</t>
  </si>
  <si>
    <t>Direct route to treatment</t>
  </si>
  <si>
    <t>Registration Workstation</t>
  </si>
  <si>
    <t>Adjacent to waiting</t>
  </si>
  <si>
    <t>Vitals Alcove</t>
  </si>
  <si>
    <t>Interview Room</t>
  </si>
  <si>
    <t>Security Room</t>
  </si>
  <si>
    <t>View to entry</t>
  </si>
  <si>
    <t>Treatment</t>
  </si>
  <si>
    <t>Exam/Treatment Room</t>
  </si>
  <si>
    <t>Universal exam bays</t>
  </si>
  <si>
    <t>Trauma/Resuscitation Bay</t>
  </si>
  <si>
    <t>Booms and imaging clearances</t>
  </si>
  <si>
    <t>Isolation Treatment Room</t>
  </si>
  <si>
    <t>Negative pressure</t>
  </si>
  <si>
    <t>Behavioral Health Holding Room</t>
  </si>
  <si>
    <t>Ligature-resistant</t>
  </si>
  <si>
    <t>Fast Track Exam</t>
  </si>
  <si>
    <t>Lower-acuity zone</t>
  </si>
  <si>
    <t>Procedure Room</t>
  </si>
  <si>
    <t>Suture and casting</t>
  </si>
  <si>
    <t>Centralized pods</t>
  </si>
  <si>
    <t>Clinical Support</t>
  </si>
  <si>
    <t>Equipment Storage</t>
  </si>
  <si>
    <t>Stretchers and monitors</t>
  </si>
  <si>
    <t>Point-of-Care Lab</t>
  </si>
  <si>
    <t>Staff Workroom</t>
  </si>
  <si>
    <t>Imaging and Diagnostics</t>
  </si>
  <si>
    <t>Waiting</t>
  </si>
  <si>
    <t>Shared for modalities</t>
  </si>
  <si>
    <t>Changing Room</t>
  </si>
  <si>
    <t>Gowned patient flow</t>
  </si>
  <si>
    <t>Patient Toilet</t>
  </si>
  <si>
    <t>Diagnostic Imaging</t>
  </si>
  <si>
    <t>General Radiography Room</t>
  </si>
  <si>
    <t>Control room adjacent</t>
  </si>
  <si>
    <t>CT Scanner Room</t>
  </si>
  <si>
    <t>Includes equipment clearances</t>
  </si>
  <si>
    <t>MRI Scanner Room</t>
  </si>
  <si>
    <t>Zone IV controlled access</t>
  </si>
  <si>
    <t>Ultrasound Room</t>
  </si>
  <si>
    <t>Mammography Room</t>
  </si>
  <si>
    <t>Fluoroscopy Room</t>
  </si>
  <si>
    <t>PET/CT Room</t>
  </si>
  <si>
    <t>Shielding coordination</t>
  </si>
  <si>
    <t>Imaging Support</t>
  </si>
  <si>
    <t>Control Room</t>
  </si>
  <si>
    <t>Shared by modality</t>
  </si>
  <si>
    <t>Equipment Room</t>
  </si>
  <si>
    <t>Vendor coordination</t>
  </si>
  <si>
    <t>Reading Room</t>
  </si>
  <si>
    <t>Low light environment</t>
  </si>
  <si>
    <t>Image Processing</t>
  </si>
  <si>
    <t>Stretcher Holding</t>
  </si>
  <si>
    <t>Surgery and Operating Suite</t>
  </si>
  <si>
    <t>Surgical Public Area</t>
  </si>
  <si>
    <t>Surgical Waiting</t>
  </si>
  <si>
    <t>Near family consult rooms</t>
  </si>
  <si>
    <t>Post-op conversations</t>
  </si>
  <si>
    <t>Reception</t>
  </si>
  <si>
    <t>Pre-Op / PACU</t>
  </si>
  <si>
    <t>Pre-Op Bay</t>
  </si>
  <si>
    <t>Curtained bays</t>
  </si>
  <si>
    <t>PACU Phase I Bay</t>
  </si>
  <si>
    <t>Direct from OR core</t>
  </si>
  <si>
    <t>PACU Phase II Chair</t>
  </si>
  <si>
    <t>Discharge readiness</t>
  </si>
  <si>
    <t>Isolation Recovery Room</t>
  </si>
  <si>
    <t>Operating Rooms</t>
  </si>
  <si>
    <t>General OR</t>
  </si>
  <si>
    <t>Booms and integrated imaging</t>
  </si>
  <si>
    <t>Hybrid OR</t>
  </si>
  <si>
    <t>Structural capacity required</t>
  </si>
  <si>
    <t>Robotics OR</t>
  </si>
  <si>
    <t>Robot storage nearby</t>
  </si>
  <si>
    <t>C-Section OR</t>
  </si>
  <si>
    <t>If linked to L&amp;D</t>
  </si>
  <si>
    <t>Induction Room</t>
  </si>
  <si>
    <t>Optional anesthesia induction</t>
  </si>
  <si>
    <t>Sub-Sterile Room</t>
  </si>
  <si>
    <t>Between OR pairs</t>
  </si>
  <si>
    <t>Sterile Core &amp; Support</t>
  </si>
  <si>
    <t>Sterile Core</t>
  </si>
  <si>
    <t>Restricted access</t>
  </si>
  <si>
    <t>Case Cart Staging</t>
  </si>
  <si>
    <t>Anesthesia Workroom</t>
  </si>
  <si>
    <t>Soiled Holding</t>
  </si>
  <si>
    <t>Staff Locker</t>
  </si>
  <si>
    <t>Male/female-neutral lockers</t>
  </si>
  <si>
    <t>Endoscopy / GI</t>
  </si>
  <si>
    <t>Procedure</t>
  </si>
  <si>
    <t>Endoscopy Procedure Room</t>
  </si>
  <si>
    <t>Bronchoscopy Procedure Room</t>
  </si>
  <si>
    <t>Negative pressure option</t>
  </si>
  <si>
    <t>Scope Processing Room</t>
  </si>
  <si>
    <t>Pass-through flow</t>
  </si>
  <si>
    <t>Clean Scope Storage</t>
  </si>
  <si>
    <t>Prep / Recovery</t>
  </si>
  <si>
    <t>Prep Bay</t>
  </si>
  <si>
    <t>Recovery Bay</t>
  </si>
  <si>
    <t>Labor and Delivery</t>
  </si>
  <si>
    <t>Waiting, Family</t>
  </si>
  <si>
    <t>Birthing Care</t>
  </si>
  <si>
    <t>LDR Room</t>
  </si>
  <si>
    <t>Labor/delivery/recovery</t>
  </si>
  <si>
    <t>Antepartum Room</t>
  </si>
  <si>
    <t>Triage Room</t>
  </si>
  <si>
    <t>Adjacent to LDR zone</t>
  </si>
  <si>
    <t>Newborn Stabilization</t>
  </si>
  <si>
    <t>Support</t>
  </si>
  <si>
    <t>Formula / Nourishment</t>
  </si>
  <si>
    <t>NICU</t>
  </si>
  <si>
    <t>Family Area</t>
  </si>
  <si>
    <t>Family Waiting</t>
  </si>
  <si>
    <t>Lactation Room</t>
  </si>
  <si>
    <t>Parent Sleep Room</t>
  </si>
  <si>
    <t>Neonatal Care</t>
  </si>
  <si>
    <t>NICU Single-Family Room</t>
  </si>
  <si>
    <t>Isolation NICU Room</t>
  </si>
  <si>
    <t>NICU Support</t>
  </si>
  <si>
    <t>Formula Prep</t>
  </si>
  <si>
    <t>Controlled environment</t>
  </si>
  <si>
    <t>Medical Surgical Unit</t>
  </si>
  <si>
    <t>Unit Waiting</t>
  </si>
  <si>
    <t>Med/Surg Patient Room</t>
  </si>
  <si>
    <t>Universal rooms</t>
  </si>
  <si>
    <t>Isolation Patient Room</t>
  </si>
  <si>
    <t>Charting Alcove</t>
  </si>
  <si>
    <t>Cardiology and Cath Lab</t>
  </si>
  <si>
    <t>Cath / EP Procedure</t>
  </si>
  <si>
    <t>Cardiac Cath Lab</t>
  </si>
  <si>
    <t>Electrophysiology Lab</t>
  </si>
  <si>
    <t>Shielding required</t>
  </si>
  <si>
    <t>Echo Room</t>
  </si>
  <si>
    <t>Stress Test Room</t>
  </si>
  <si>
    <t>Device Clinic Room</t>
  </si>
  <si>
    <t>Prep/Recovery Bay</t>
  </si>
  <si>
    <t>Oncology Center</t>
  </si>
  <si>
    <t>Daylight preferred</t>
  </si>
  <si>
    <t>Resource Library</t>
  </si>
  <si>
    <t>Infusion Bay</t>
  </si>
  <si>
    <t>Recliner-based care</t>
  </si>
  <si>
    <t>Private Infusion Room</t>
  </si>
  <si>
    <t>Exam Room</t>
  </si>
  <si>
    <t>Pharmacy Support</t>
  </si>
  <si>
    <t>Chemo Prep Cleanroom</t>
  </si>
  <si>
    <t>USP compliant</t>
  </si>
  <si>
    <t>Hazardous Drug Storage</t>
  </si>
  <si>
    <t>Behavioral Health</t>
  </si>
  <si>
    <t>Secure Public Area</t>
  </si>
  <si>
    <t>Controlled Entry</t>
  </si>
  <si>
    <t>Staff-controlled</t>
  </si>
  <si>
    <t>Visitor Toilet</t>
  </si>
  <si>
    <t>Inpatient Behavioral Health</t>
  </si>
  <si>
    <t>Patient Room</t>
  </si>
  <si>
    <t>Anti-ligature design</t>
  </si>
  <si>
    <t>Quiet Room</t>
  </si>
  <si>
    <t>Seclusion Room</t>
  </si>
  <si>
    <t>Observation required</t>
  </si>
  <si>
    <t>Group Therapy Room</t>
  </si>
  <si>
    <t>Dining / Day Room</t>
  </si>
  <si>
    <t>Staff and Support</t>
  </si>
  <si>
    <t>Secure desk</t>
  </si>
  <si>
    <t>Rehabilitation Therapy</t>
  </si>
  <si>
    <t>Therapy</t>
  </si>
  <si>
    <t>Physical Therapy Gym</t>
  </si>
  <si>
    <t>Open treatment area</t>
  </si>
  <si>
    <t>Occupational Therapy ADL Suite</t>
  </si>
  <si>
    <t>Mock apartment</t>
  </si>
  <si>
    <t>Speech Therapy Room</t>
  </si>
  <si>
    <t>Private Treatment Room</t>
  </si>
  <si>
    <t>Hydrotherapy Room</t>
  </si>
  <si>
    <t>Staff Lockers</t>
  </si>
  <si>
    <t>Clinical Laboratory</t>
  </si>
  <si>
    <t>Specimen Collection</t>
  </si>
  <si>
    <t>Phlebotomy Bay</t>
  </si>
  <si>
    <t>Core Laboratory</t>
  </si>
  <si>
    <t>Hematology Lab</t>
  </si>
  <si>
    <t>Chemistry Lab</t>
  </si>
  <si>
    <t>Microbiology Lab</t>
  </si>
  <si>
    <t>Controlled access</t>
  </si>
  <si>
    <t>Blood Bank</t>
  </si>
  <si>
    <t>Molecular Diagnostics</t>
  </si>
  <si>
    <t>Specimen Processing</t>
  </si>
  <si>
    <t>Lab Support</t>
  </si>
  <si>
    <t>Cold Room</t>
  </si>
  <si>
    <t>Reagent Storage</t>
  </si>
  <si>
    <t>Glasswash / Sterilization</t>
  </si>
  <si>
    <t>Waste Holding</t>
  </si>
  <si>
    <t>Pharmacy</t>
  </si>
  <si>
    <t>Dispensing</t>
  </si>
  <si>
    <t>Inpatient Pharmacy</t>
  </si>
  <si>
    <t>Central distribution</t>
  </si>
  <si>
    <t>Medication Carousel</t>
  </si>
  <si>
    <t>Automated storage</t>
  </si>
  <si>
    <t>Unit Dose Packaging</t>
  </si>
  <si>
    <t>Pharmacist Workstations</t>
  </si>
  <si>
    <t>Sterile Compounding</t>
  </si>
  <si>
    <t>IV Cleanroom</t>
  </si>
  <si>
    <t>Ante Room</t>
  </si>
  <si>
    <t>Hazardous Compounding Room</t>
  </si>
  <si>
    <t>Chemo Storage</t>
  </si>
  <si>
    <t>Receiving / Quarantine</t>
  </si>
  <si>
    <t>Bulk Drug Storage</t>
  </si>
  <si>
    <t>Secure Narcotics Room</t>
  </si>
  <si>
    <t>Office</t>
  </si>
  <si>
    <t>Central Sterile Processing</t>
  </si>
  <si>
    <t>Decontamination</t>
  </si>
  <si>
    <t>Decontam Work Area</t>
  </si>
  <si>
    <t>Dirty-to-clean flow</t>
  </si>
  <si>
    <t>Cart Wash</t>
  </si>
  <si>
    <t>Soiled Elevator Lobby</t>
  </si>
  <si>
    <t>Preparation &amp; Sterilization</t>
  </si>
  <si>
    <t>Prep and Pack</t>
  </si>
  <si>
    <t>Sterilizer Room</t>
  </si>
  <si>
    <t>Steam and low-temp</t>
  </si>
  <si>
    <t>Sterile Storage</t>
  </si>
  <si>
    <t>Controlled humidity</t>
  </si>
  <si>
    <t>Case Cart Assembly</t>
  </si>
  <si>
    <t>Instrument Repair</t>
  </si>
  <si>
    <t>Supervisor Office</t>
  </si>
  <si>
    <t>Supply Storage</t>
  </si>
  <si>
    <t>Ambulatory Clinics</t>
  </si>
  <si>
    <t>Registration</t>
  </si>
  <si>
    <t>Shared front desk</t>
  </si>
  <si>
    <t>Divisible by clinic pod</t>
  </si>
  <si>
    <t>Self Check-in Kiosk Area</t>
  </si>
  <si>
    <t>Exam Pods</t>
  </si>
  <si>
    <t>Standard Exam Room</t>
  </si>
  <si>
    <t>Universal exam room</t>
  </si>
  <si>
    <t>Minor procedures</t>
  </si>
  <si>
    <t>Provider consult</t>
  </si>
  <si>
    <t>Pod-based</t>
  </si>
  <si>
    <t>Clinic Support</t>
  </si>
  <si>
    <t>Public Amenities</t>
  </si>
  <si>
    <t>Arrival and Lobby</t>
  </si>
  <si>
    <t>Main Lobby</t>
  </si>
  <si>
    <t>Major public orientation</t>
  </si>
  <si>
    <t>Information Desk</t>
  </si>
  <si>
    <t>Security Screening</t>
  </si>
  <si>
    <t>Public Waiting</t>
  </si>
  <si>
    <t>Public Toilet Bank</t>
  </si>
  <si>
    <t>Amenity Areas</t>
  </si>
  <si>
    <t>Cafeteria Dining</t>
  </si>
  <si>
    <t>Public and staff</t>
  </si>
  <si>
    <t>Retail Pharmacy</t>
  </si>
  <si>
    <t>Gift Shop</t>
  </si>
  <si>
    <t>Meditation / Chapel</t>
  </si>
  <si>
    <t>Quiet zone</t>
  </si>
  <si>
    <t>Community Room</t>
  </si>
  <si>
    <t>Public education</t>
  </si>
  <si>
    <t>Vertical Circulation Support</t>
  </si>
  <si>
    <t>Elevator Lobby</t>
  </si>
  <si>
    <t>Public elevator banks</t>
  </si>
  <si>
    <t>Wayfinding Alcove</t>
  </si>
  <si>
    <t>Volunteer Office</t>
  </si>
  <si>
    <t>Administration</t>
  </si>
  <si>
    <t>Executive and Admin</t>
  </si>
  <si>
    <t>Open Office Workstations</t>
  </si>
  <si>
    <t>Private Office</t>
  </si>
  <si>
    <t>Conference Room, Small</t>
  </si>
  <si>
    <t>Conference Room, Large</t>
  </si>
  <si>
    <t>Board Room</t>
  </si>
  <si>
    <t>Copy / Print Room</t>
  </si>
  <si>
    <t>Records Storage</t>
  </si>
  <si>
    <t>Break Room</t>
  </si>
  <si>
    <t>Admin Reception</t>
  </si>
  <si>
    <t>Nutrition and Food Service</t>
  </si>
  <si>
    <t>Kitchen Production</t>
  </si>
  <si>
    <t>Main Kitchen</t>
  </si>
  <si>
    <t>Hospital food production</t>
  </si>
  <si>
    <t>Cold Prep</t>
  </si>
  <si>
    <t>Hot Prep / Cookline</t>
  </si>
  <si>
    <t>Bakery / Dessert Prep</t>
  </si>
  <si>
    <t>Tray Assembly</t>
  </si>
  <si>
    <t>Storage and Receiving</t>
  </si>
  <si>
    <t>Dry Food Storage</t>
  </si>
  <si>
    <t>Walk-in Cooler</t>
  </si>
  <si>
    <t>Walk-in Freezer</t>
  </si>
  <si>
    <t>Dock Receiving</t>
  </si>
  <si>
    <t>Shared receiving</t>
  </si>
  <si>
    <t>Dietitian Office</t>
  </si>
  <si>
    <t>Food Service Office</t>
  </si>
  <si>
    <t>Staff Break</t>
  </si>
  <si>
    <t>Materials Management</t>
  </si>
  <si>
    <t>Receiving</t>
  </si>
  <si>
    <t>Loading Dock</t>
  </si>
  <si>
    <t>Shared service yard</t>
  </si>
  <si>
    <t>Receiving Staging</t>
  </si>
  <si>
    <t>Vendor Check-in</t>
  </si>
  <si>
    <t>Pallet Breakdown</t>
  </si>
  <si>
    <t>Storage and Distribution</t>
  </si>
  <si>
    <t>Central Supply Warehouse</t>
  </si>
  <si>
    <t>Bulk storage</t>
  </si>
  <si>
    <t>Linen Storage</t>
  </si>
  <si>
    <t>Medical Gas Cylinder Storage</t>
  </si>
  <si>
    <t>Ventilated</t>
  </si>
  <si>
    <t>Equipment Depot</t>
  </si>
  <si>
    <t>Beds and pumps</t>
  </si>
  <si>
    <t>Courier Dispatch</t>
  </si>
  <si>
    <t>Materials Office</t>
  </si>
  <si>
    <t>Environmental Services</t>
  </si>
  <si>
    <t>Housekeeping</t>
  </si>
  <si>
    <t>EVS Office</t>
  </si>
  <si>
    <t>Housekeeping Closet</t>
  </si>
  <si>
    <t>Distributed by floor</t>
  </si>
  <si>
    <t>Clean Linen Room</t>
  </si>
  <si>
    <t>Soiled Linen Holding</t>
  </si>
  <si>
    <t>Waste Management</t>
  </si>
  <si>
    <t>General Waste Holding</t>
  </si>
  <si>
    <t>Regulated Medical Waste</t>
  </si>
  <si>
    <t>Recycling Holding</t>
  </si>
  <si>
    <t>Trash Compactor Room</t>
  </si>
  <si>
    <t>EVS Equipment Storage</t>
  </si>
  <si>
    <t>Carts and machines</t>
  </si>
  <si>
    <t>Facilities MEP and HVAC</t>
  </si>
  <si>
    <t>Mechanical / HVAC</t>
  </si>
  <si>
    <t>Central Mechanical Room</t>
  </si>
  <si>
    <t>Air handling units</t>
  </si>
  <si>
    <t>AHU Room Level 2</t>
  </si>
  <si>
    <t>Surgical air systems</t>
  </si>
  <si>
    <t>AHU Room Level 5</t>
  </si>
  <si>
    <t>Inpatient air systems</t>
  </si>
  <si>
    <t>Exhaust Fan Room</t>
  </si>
  <si>
    <t>Roof-level equipment</t>
  </si>
  <si>
    <t>Humidification / Water Treatment</t>
  </si>
  <si>
    <t>Electrical</t>
  </si>
  <si>
    <t>Main Electrical Room</t>
  </si>
  <si>
    <t>Utility service entrance</t>
  </si>
  <si>
    <t>Emergency Generator Room</t>
  </si>
  <si>
    <t>Acoustic separation</t>
  </si>
  <si>
    <t>Automatic Transfer Switch Room</t>
  </si>
  <si>
    <t>Electrical Closet</t>
  </si>
  <si>
    <t>Stacked by floor</t>
  </si>
  <si>
    <t>UPS Room</t>
  </si>
  <si>
    <t>Critical systems</t>
  </si>
  <si>
    <t>Plumbing and Medical Gas</t>
  </si>
  <si>
    <t>Plumbing Equipment Room</t>
  </si>
  <si>
    <t>Pumps and heaters</t>
  </si>
  <si>
    <t>Medical Gas Manifold</t>
  </si>
  <si>
    <t>Exterior ventilation</t>
  </si>
  <si>
    <t>Vacuum Pump Room</t>
  </si>
  <si>
    <t>Fire Pump Room</t>
  </si>
  <si>
    <t>Facilities Support</t>
  </si>
  <si>
    <t>Facilities Office</t>
  </si>
  <si>
    <t>Maintenance Shop</t>
  </si>
  <si>
    <t>Parts Storage</t>
  </si>
  <si>
    <t>Janitor Supply Bulk Storage</t>
  </si>
  <si>
    <t>IT Security and Command Center</t>
  </si>
  <si>
    <t>IT Infrastructure</t>
  </si>
  <si>
    <t>Main Data Center</t>
  </si>
  <si>
    <t>Redundant cooling</t>
  </si>
  <si>
    <t>Telecom Entrance Room</t>
  </si>
  <si>
    <t>IDF Closet</t>
  </si>
  <si>
    <t>Distributed closets</t>
  </si>
  <si>
    <t>Network Operations Center</t>
  </si>
  <si>
    <t>Security Operations</t>
  </si>
  <si>
    <t>Security Command Center</t>
  </si>
  <si>
    <t>CCTV monitoring</t>
  </si>
  <si>
    <t>Badge Office</t>
  </si>
  <si>
    <t>Holding Interview Room</t>
  </si>
  <si>
    <t>Security Equipment Storage</t>
  </si>
  <si>
    <t>Clinical Technology Support</t>
  </si>
  <si>
    <t>Biomedical Engineering Shop</t>
  </si>
  <si>
    <t>Device Testing Lab</t>
  </si>
  <si>
    <t>Spare Device Storage</t>
  </si>
  <si>
    <t>IT Help Desk</t>
  </si>
  <si>
    <t>Education and Conference</t>
  </si>
  <si>
    <t>Teaching Spaces</t>
  </si>
  <si>
    <t>Simulation Lab</t>
  </si>
  <si>
    <t>Mock clinical room</t>
  </si>
  <si>
    <t>Classroom</t>
  </si>
  <si>
    <t>Flexible training</t>
  </si>
  <si>
    <t>Computer Training Room</t>
  </si>
  <si>
    <t>Skills Lab</t>
  </si>
  <si>
    <t>Conference Center</t>
  </si>
  <si>
    <t>Auditorium</t>
  </si>
  <si>
    <t>Hospital-wide meetings</t>
  </si>
  <si>
    <t>Pre-function Area</t>
  </si>
  <si>
    <t>Conference Room</t>
  </si>
  <si>
    <t>Catering Pantry</t>
  </si>
  <si>
    <t>Storage</t>
  </si>
  <si>
    <t>Tables and chairs</t>
  </si>
  <si>
    <t>Admin Office</t>
  </si>
  <si>
    <t>Renal Dialysis</t>
  </si>
  <si>
    <t>Dialysis Station</t>
  </si>
  <si>
    <t>Patient recliner and equipment</t>
  </si>
  <si>
    <t>Isolation Dialysis Room</t>
  </si>
  <si>
    <t>Water Treatment Room</t>
  </si>
  <si>
    <t>Critical infrastructure</t>
  </si>
  <si>
    <t>Medical / Hospital Architectural Program Summary</t>
  </si>
  <si>
    <t>Department</t>
  </si>
  <si>
    <t>Net Sq. Feet</t>
  </si>
  <si>
    <t>Grossing Factor</t>
  </si>
  <si>
    <t>Gross Sq. Feet</t>
  </si>
  <si>
    <t>Floor(s)</t>
  </si>
  <si>
    <t>Program Count</t>
  </si>
  <si>
    <t>5</t>
  </si>
  <si>
    <t>1</t>
  </si>
  <si>
    <t>2</t>
  </si>
  <si>
    <t>3</t>
  </si>
  <si>
    <t>4</t>
  </si>
  <si>
    <t>6</t>
  </si>
  <si>
    <t>7</t>
  </si>
  <si>
    <t>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</si>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</sst>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1F2937"/>
      <name val="Carlito"/>
    </font>
    <font>
      <b/>
      <sz val="11"/>
      <color rgb="FF111827"/>
      <name val="Carlito"/>
    </font>
    <font>
      <b/>
      <sz val="11"/>
      <color rgb="FFFFFFFF"/>
      <name val="Carlito"/>
    </font>
    <font>
      <b/>
      <sz val="11"/>
      <color rgb="FF1F2937"/>
      <name val="Carlito"/>
    </font>
    <font>
      <b/>
      <sz val="11"/>
      <color rgb="FF374151"/>
      <name val="Carlito"/>
    </font>
    <font>
      <sz val="11"/>
      <color rgb="FF37415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6B7280"/>
      </patternFill>
    </fill>
    <fill>
      <patternFill patternType="solid">
        <fgColor rgb="FFD1D5DB"/>
      </patternFill>
    </fill>
    <fill>
      <patternFill patternType="solid">
        <fgColor rgb="FFF3F4F6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2" fontId="0" fillId="0" borderId="0" xfId="0" applyNumberFormat="1"/>
    <xf numFmtId="0" fontId="4" fillId="4" borderId="0" xfId="0" applyFont="1" applyFill="1" applyAlignment="1">
      <alignment horizontal="right"/>
    </xf>
    <xf numFmtId="3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0" borderId="4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5" xfId="0" applyFont="1" applyBorder="1" applyAlignment="1">
      <alignment vertical="top" wrapText="1"/>
    </xf>
    <xf numFmtId="3" fontId="5" fillId="4" borderId="0" xfId="0" applyNumberFormat="1" applyFont="1" applyFill="1" applyAlignment="1">
      <alignment horizontal="right" vertical="top" wrapText="1"/>
    </xf>
    <xf numFmtId="0" fontId="6" fillId="0" borderId="6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3" fontId="5" fillId="4" borderId="7" xfId="0" applyNumberFormat="1" applyFont="1" applyFill="1" applyBorder="1" applyAlignment="1">
      <alignment horizontal="right" vertical="top" wrapText="1"/>
    </xf>
    <xf numFmtId="0" fontId="6" fillId="0" borderId="8" xfId="0" applyFont="1" applyBorder="1" applyAlignment="1">
      <alignment vertical="top" wrapText="1"/>
    </xf>
    <xf numFmtId="0" fontId="6" fillId="0" borderId="0" xfId="0" applyFont="1" applyAlignment="1">
      <alignment horizontal="center" vertical="top" wrapText="1"/>
    </xf>
    <xf numFmtId="3" fontId="6" fillId="0" borderId="0" xfId="0" applyNumberFormat="1" applyFont="1" applyAlignment="1">
      <alignment horizontal="center" vertical="top" wrapText="1"/>
    </xf>
    <xf numFmtId="3" fontId="5" fillId="4" borderId="0" xfId="0" applyNumberFormat="1" applyFont="1" applyFill="1" applyAlignment="1">
      <alignment horizontal="center" vertical="top" wrapText="1"/>
    </xf>
    <xf numFmtId="3" fontId="6" fillId="0" borderId="0" xfId="0" applyNumberFormat="1" applyFont="1" applyAlignment="1">
      <alignment vertical="top" wrapText="1"/>
    </xf>
    <xf numFmtId="3" fontId="6" fillId="0" borderId="7" xfId="0" applyNumberFormat="1" applyFont="1" applyBorder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right" wrapText="1"/>
    </xf>
    <xf numFmtId="3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3" fontId="0" fillId="0" borderId="7" xfId="0" applyNumberFormat="1" applyBorder="1"/>
    <xf numFmtId="2" fontId="0" fillId="0" borderId="7" xfId="0" applyNumberFormat="1" applyBorder="1"/>
    <xf numFmtId="0" fontId="1" fillId="0" borderId="0" xfId="0" applyFont="1" applyAlignment="1">
      <alignment horizontal="center" wrapText="1"/>
    </xf>
    <xf numFmtId="0" fontId="5" fillId="3" borderId="4" xfId="0" applyFont="1" applyFill="1" applyBorder="1" applyAlignment="1">
      <alignment horizontal="left" vertical="top" wrapText="1"/>
    </xf>
    <xf numFmtId="3" fontId="5" fillId="3" borderId="0" xfId="0" applyNumberFormat="1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3" fontId="5" fillId="3" borderId="0" xfId="0" applyNumberFormat="1" applyFont="1" applyFill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30"/>
  <sheetViews>
    <sheetView tabSelected="1" workbookViewId="0">
      <selection activeCell="I22" sqref="I22"/>
    </sheetView>
  </sheetViews>
  <sheetFormatPr defaultRowHeight="14"/>
  <cols>
    <col min="1" max="1" width="34" customWidth="1"/>
    <col min="2" max="4" width="16" customWidth="1"/>
    <col min="5" max="5" width="12" customWidth="1"/>
    <col min="6" max="6" width="14" customWidth="1"/>
  </cols>
  <sheetData>
    <row r="1" spans="1:6" ht="18">
      <c r="A1" s="41" t="s">
        <v>452</v>
      </c>
      <c r="B1" s="41"/>
      <c r="C1" s="41"/>
      <c r="D1" s="41"/>
      <c r="E1" s="41"/>
      <c r="F1" s="41"/>
    </row>
    <row r="3" spans="1:6">
      <c r="A3" s="4" t="s">
        <v>453</v>
      </c>
      <c r="B3" s="5" t="s">
        <v>454</v>
      </c>
      <c r="C3" s="5" t="s">
        <v>455</v>
      </c>
      <c r="D3" s="5" t="s">
        <v>456</v>
      </c>
      <c r="E3" s="5" t="s">
        <v>457</v>
      </c>
      <c r="F3" s="6" t="s">
        <v>458</v>
      </c>
    </row>
    <row r="4" spans="1:6">
      <c r="A4" s="7" t="s">
        <v>0</v>
      </c>
      <c r="B4" s="3">
        <f>'Typical Bed Unit-32 ICU'!C3</f>
        <v>16210</v>
      </c>
      <c r="C4" s="1">
        <v>1.59</v>
      </c>
      <c r="D4" s="3">
        <f>'Typical Bed Unit-32 ICU'!C5</f>
        <v>25773.9</v>
      </c>
      <c r="E4" t="s">
        <v>459</v>
      </c>
      <c r="F4" s="8">
        <v>19</v>
      </c>
    </row>
    <row r="5" spans="1:6">
      <c r="A5" s="7" t="s">
        <v>47</v>
      </c>
      <c r="B5" s="3">
        <f>'Emergency Department'!C3</f>
        <v>20350</v>
      </c>
      <c r="C5" s="1">
        <v>1.41</v>
      </c>
      <c r="D5" s="3">
        <f>'Emergency Department'!C5</f>
        <v>28693.5</v>
      </c>
      <c r="E5" t="s">
        <v>460</v>
      </c>
      <c r="F5" s="8">
        <v>26</v>
      </c>
    </row>
    <row r="6" spans="1:6">
      <c r="A6" s="7" t="s">
        <v>89</v>
      </c>
      <c r="B6" s="3">
        <f>'Imaging and Diagnostics'!C3</f>
        <v>14530</v>
      </c>
      <c r="C6" s="1">
        <v>1.48</v>
      </c>
      <c r="D6" s="3">
        <f>'Imaging and Diagnostics'!C5</f>
        <v>21504.400000000001</v>
      </c>
      <c r="E6" t="s">
        <v>460</v>
      </c>
      <c r="F6" s="8">
        <v>19</v>
      </c>
    </row>
    <row r="7" spans="1:6">
      <c r="A7" s="7" t="s">
        <v>116</v>
      </c>
      <c r="B7" s="3">
        <f>'Surgery and Operating Suite'!C3</f>
        <v>30990</v>
      </c>
      <c r="C7" s="1">
        <v>1.47</v>
      </c>
      <c r="D7" s="3">
        <f>'Surgery and Operating Suite'!C5</f>
        <v>45555.299999999996</v>
      </c>
      <c r="E7" t="s">
        <v>461</v>
      </c>
      <c r="F7" s="8">
        <v>22</v>
      </c>
    </row>
    <row r="8" spans="1:6">
      <c r="A8" s="7" t="s">
        <v>151</v>
      </c>
      <c r="B8" s="3">
        <f>'Endoscopy and GI'!C3</f>
        <v>10240</v>
      </c>
      <c r="C8" s="1">
        <v>1.62</v>
      </c>
      <c r="D8" s="3">
        <f>'Endoscopy and GI'!C5</f>
        <v>16588.800000000003</v>
      </c>
      <c r="E8" t="s">
        <v>461</v>
      </c>
      <c r="F8" s="8">
        <v>15</v>
      </c>
    </row>
    <row r="9" spans="1:6">
      <c r="A9" s="7" t="s">
        <v>162</v>
      </c>
      <c r="B9" s="3">
        <f>'Labor and Delivery'!C3</f>
        <v>14120</v>
      </c>
      <c r="C9" s="1">
        <v>1.6</v>
      </c>
      <c r="D9" s="3">
        <f>'Labor and Delivery'!C5</f>
        <v>22592</v>
      </c>
      <c r="E9" t="s">
        <v>462</v>
      </c>
      <c r="F9" s="8">
        <v>16</v>
      </c>
    </row>
    <row r="10" spans="1:6">
      <c r="A10" s="7" t="s">
        <v>173</v>
      </c>
      <c r="B10" s="3">
        <f>NICU!C3</f>
        <v>15030</v>
      </c>
      <c r="C10" s="1">
        <v>1.67</v>
      </c>
      <c r="D10" s="3">
        <f>NICU!C5</f>
        <v>25100.1</v>
      </c>
      <c r="E10" t="s">
        <v>462</v>
      </c>
      <c r="F10" s="8">
        <v>14</v>
      </c>
    </row>
    <row r="11" spans="1:6">
      <c r="A11" s="7" t="s">
        <v>184</v>
      </c>
      <c r="B11" s="3">
        <f>'Medical Surgical Unit'!C3</f>
        <v>19860</v>
      </c>
      <c r="C11" s="1">
        <v>1.43</v>
      </c>
      <c r="D11" s="3">
        <f>'Medical Surgical Unit'!C5</f>
        <v>28399.8</v>
      </c>
      <c r="E11" t="s">
        <v>463</v>
      </c>
      <c r="F11" s="8">
        <v>15</v>
      </c>
    </row>
    <row r="12" spans="1:6">
      <c r="A12" s="7" t="s">
        <v>190</v>
      </c>
      <c r="B12" s="3">
        <f>'Cardiology and Cath Lab'!C3</f>
        <v>11360</v>
      </c>
      <c r="C12" s="1">
        <v>1.53</v>
      </c>
      <c r="D12" s="3">
        <f>'Cardiology and Cath Lab'!C5</f>
        <v>17380.8</v>
      </c>
      <c r="E12" t="s">
        <v>461</v>
      </c>
      <c r="F12" s="8">
        <v>14</v>
      </c>
    </row>
    <row r="13" spans="1:6">
      <c r="A13" s="7" t="s">
        <v>199</v>
      </c>
      <c r="B13" s="3">
        <f>'Oncology Center'!C3</f>
        <v>10340</v>
      </c>
      <c r="C13" s="1">
        <v>1.41</v>
      </c>
      <c r="D13" s="3">
        <f>'Oncology Center'!C5</f>
        <v>14579.4</v>
      </c>
      <c r="E13" t="s">
        <v>460</v>
      </c>
      <c r="F13" s="8">
        <v>15</v>
      </c>
    </row>
    <row r="14" spans="1:6">
      <c r="A14" s="7" t="s">
        <v>210</v>
      </c>
      <c r="B14" s="3">
        <f>'Behavioral Health'!C3</f>
        <v>10910</v>
      </c>
      <c r="C14" s="1">
        <v>1.47</v>
      </c>
      <c r="D14" s="3">
        <f>'Behavioral Health'!C5</f>
        <v>16037.699999999999</v>
      </c>
      <c r="E14" t="s">
        <v>464</v>
      </c>
      <c r="F14" s="8">
        <v>15</v>
      </c>
    </row>
    <row r="15" spans="1:6">
      <c r="A15" s="7" t="s">
        <v>225</v>
      </c>
      <c r="B15" s="3">
        <f>'Rehabilitation Therapy'!C3</f>
        <v>5715</v>
      </c>
      <c r="C15" s="1">
        <v>1.55</v>
      </c>
      <c r="D15" s="3">
        <f>'Rehabilitation Therapy'!C5</f>
        <v>8858.25</v>
      </c>
      <c r="E15" t="s">
        <v>460</v>
      </c>
      <c r="F15" s="8">
        <v>12</v>
      </c>
    </row>
    <row r="16" spans="1:6">
      <c r="A16" s="7" t="s">
        <v>235</v>
      </c>
      <c r="B16" s="3">
        <f>'Clinical Laboratory'!C3</f>
        <v>6410</v>
      </c>
      <c r="C16" s="1">
        <v>1.41</v>
      </c>
      <c r="D16" s="3">
        <f>'Clinical Laboratory'!C5</f>
        <v>9038.1</v>
      </c>
      <c r="E16" t="s">
        <v>460</v>
      </c>
      <c r="F16" s="8">
        <v>15</v>
      </c>
    </row>
    <row r="17" spans="1:6">
      <c r="A17" s="7" t="s">
        <v>251</v>
      </c>
      <c r="B17" s="3">
        <f>Pharmacy!C3</f>
        <v>5170</v>
      </c>
      <c r="C17" s="1">
        <v>1.46</v>
      </c>
      <c r="D17" s="3">
        <f>Pharmacy!C5</f>
        <v>7548.2</v>
      </c>
      <c r="E17" t="s">
        <v>460</v>
      </c>
      <c r="F17" s="8">
        <v>13</v>
      </c>
    </row>
    <row r="18" spans="1:6">
      <c r="A18" s="7" t="s">
        <v>268</v>
      </c>
      <c r="B18" s="3">
        <f>'Central Sterile Processing'!C3</f>
        <v>6530</v>
      </c>
      <c r="C18" s="1">
        <v>1.59</v>
      </c>
      <c r="D18" s="3">
        <f>'Central Sterile Processing'!C5</f>
        <v>10382.700000000001</v>
      </c>
      <c r="E18" t="s">
        <v>460</v>
      </c>
      <c r="F18" s="8">
        <v>13</v>
      </c>
    </row>
    <row r="19" spans="1:6">
      <c r="A19" s="7" t="s">
        <v>284</v>
      </c>
      <c r="B19" s="3">
        <f>'Ambulatory Clinics'!C3</f>
        <v>14130</v>
      </c>
      <c r="C19" s="1">
        <v>1.56</v>
      </c>
      <c r="D19" s="3">
        <f>'Ambulatory Clinics'!C5</f>
        <v>22042.799999999999</v>
      </c>
      <c r="E19" t="s">
        <v>460</v>
      </c>
      <c r="F19" s="8">
        <v>13</v>
      </c>
    </row>
    <row r="20" spans="1:6">
      <c r="A20" s="7" t="s">
        <v>296</v>
      </c>
      <c r="B20" s="3">
        <f>'Public Amenities'!C3</f>
        <v>12830</v>
      </c>
      <c r="C20" s="1">
        <v>1.47</v>
      </c>
      <c r="D20" s="3">
        <f>'Public Amenities'!C5</f>
        <v>18860.099999999999</v>
      </c>
      <c r="E20" t="s">
        <v>460</v>
      </c>
      <c r="F20" s="8">
        <v>13</v>
      </c>
    </row>
    <row r="21" spans="1:6">
      <c r="A21" s="7" t="s">
        <v>318</v>
      </c>
      <c r="B21" s="3">
        <f>Administration!C3</f>
        <v>10470</v>
      </c>
      <c r="C21" s="1">
        <v>1.58</v>
      </c>
      <c r="D21" s="3">
        <f>Administration!C5</f>
        <v>16542.600000000002</v>
      </c>
      <c r="E21" t="s">
        <v>465</v>
      </c>
      <c r="F21" s="8">
        <v>10</v>
      </c>
    </row>
    <row r="22" spans="1:6">
      <c r="A22" s="7" t="s">
        <v>329</v>
      </c>
      <c r="B22" s="3">
        <f>'Nutrition and Food Service'!C3</f>
        <v>10040</v>
      </c>
      <c r="C22" s="1">
        <v>1.64</v>
      </c>
      <c r="D22" s="3">
        <f>'Nutrition and Food Service'!C5</f>
        <v>16465.599999999999</v>
      </c>
      <c r="E22" t="s">
        <v>460</v>
      </c>
      <c r="F22" s="8">
        <v>14</v>
      </c>
    </row>
    <row r="23" spans="1:6">
      <c r="A23" s="7" t="s">
        <v>346</v>
      </c>
      <c r="B23" s="3">
        <f>'Materials Management'!C3</f>
        <v>10910</v>
      </c>
      <c r="C23" s="1">
        <v>1.4</v>
      </c>
      <c r="D23" s="3">
        <f>'Materials Management'!C5</f>
        <v>15273.999999999998</v>
      </c>
      <c r="E23" t="s">
        <v>460</v>
      </c>
      <c r="F23" s="8">
        <v>12</v>
      </c>
    </row>
    <row r="24" spans="1:6">
      <c r="A24" s="7" t="s">
        <v>363</v>
      </c>
      <c r="B24" s="3">
        <f>'Environmental Services'!C3</f>
        <v>5890</v>
      </c>
      <c r="C24" s="1">
        <v>1.64</v>
      </c>
      <c r="D24" s="3">
        <f>'Environmental Services'!C5</f>
        <v>9659.5999999999985</v>
      </c>
      <c r="E24" t="s">
        <v>460</v>
      </c>
      <c r="F24" s="8">
        <v>11</v>
      </c>
    </row>
    <row r="25" spans="1:6">
      <c r="A25" s="7" t="s">
        <v>377</v>
      </c>
      <c r="B25" s="3">
        <f>'Facilities MEP and HVAC'!C3</f>
        <v>21740</v>
      </c>
      <c r="C25" s="1">
        <v>1.61</v>
      </c>
      <c r="D25" s="3">
        <f>'Facilities MEP and HVAC'!C5</f>
        <v>35001.4</v>
      </c>
      <c r="E25" t="s">
        <v>460</v>
      </c>
      <c r="F25" s="8">
        <v>18</v>
      </c>
    </row>
    <row r="26" spans="1:6">
      <c r="A26" s="7" t="s">
        <v>410</v>
      </c>
      <c r="B26" s="3">
        <f>'IT Security and Command Center'!C3</f>
        <v>7310</v>
      </c>
      <c r="C26" s="1">
        <v>1.5</v>
      </c>
      <c r="D26" s="3">
        <f>'IT Security and Command Center'!C5</f>
        <v>10965</v>
      </c>
      <c r="E26" t="s">
        <v>460</v>
      </c>
      <c r="F26" s="8">
        <v>12</v>
      </c>
    </row>
    <row r="27" spans="1:6">
      <c r="A27" s="7" t="s">
        <v>429</v>
      </c>
      <c r="B27" s="3">
        <f>'Education and Conference'!C3</f>
        <v>10270</v>
      </c>
      <c r="C27" s="1">
        <v>1.45</v>
      </c>
      <c r="D27" s="3">
        <f>'Education and Conference'!C5</f>
        <v>14891.5</v>
      </c>
      <c r="E27" t="s">
        <v>465</v>
      </c>
      <c r="F27" s="8">
        <v>11</v>
      </c>
    </row>
    <row r="28" spans="1:6">
      <c r="A28" s="9" t="s">
        <v>446</v>
      </c>
      <c r="B28" s="32">
        <f>'Renal Dialysis'!C3</f>
        <v>6075</v>
      </c>
      <c r="C28" s="33">
        <v>1.69</v>
      </c>
      <c r="D28" s="32">
        <f>'Renal Dialysis'!C5</f>
        <v>10266.75</v>
      </c>
      <c r="E28" s="10" t="s">
        <v>460</v>
      </c>
      <c r="F28" s="11">
        <v>13</v>
      </c>
    </row>
    <row r="30" spans="1:6">
      <c r="A30" s="2" t="s">
        <v>466</v>
      </c>
      <c r="B30" s="2">
        <f>SUM(B4:B28)</f>
        <v>307430</v>
      </c>
      <c r="C30" s="2"/>
      <c r="D30" s="2">
        <f>SUM(D4:D28)</f>
        <v>468002.29999999993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workbookViewId="0">
      <selection sqref="A1:F1"/>
    </sheetView>
  </sheetViews>
  <sheetFormatPr defaultRowHeight="14"/>
  <cols>
    <col min="1" max="1" width="31" customWidth="1"/>
    <col min="2" max="2" width="11" customWidth="1"/>
    <col min="3" max="4" width="13" customWidth="1"/>
    <col min="5" max="5" width="8" customWidth="1"/>
    <col min="6" max="6" width="42" customWidth="1"/>
  </cols>
  <sheetData>
    <row r="1" spans="1:6" ht="18">
      <c r="A1" s="34" t="s">
        <v>467</v>
      </c>
      <c r="B1" s="34"/>
      <c r="C1" s="34"/>
      <c r="D1" s="34"/>
      <c r="E1" s="34"/>
      <c r="F1" s="34"/>
    </row>
    <row r="2" spans="1:6">
      <c r="A2" s="25"/>
      <c r="B2" s="25"/>
      <c r="C2" s="25"/>
      <c r="D2" s="25"/>
      <c r="E2" s="25"/>
      <c r="F2" s="25"/>
    </row>
    <row r="3" spans="1:6" ht="42">
      <c r="A3" s="25"/>
      <c r="B3" s="26" t="s">
        <v>1</v>
      </c>
      <c r="C3" s="27">
        <f>SUM(D15,D26,D35)</f>
        <v>16210</v>
      </c>
      <c r="D3" s="26" t="s">
        <v>2</v>
      </c>
      <c r="E3" s="27">
        <f>C5</f>
        <v>25773.9</v>
      </c>
      <c r="F3" s="25"/>
    </row>
    <row r="4" spans="1:6" ht="42">
      <c r="A4" s="25"/>
      <c r="B4" s="26" t="s">
        <v>3</v>
      </c>
      <c r="C4" s="28">
        <v>1.59</v>
      </c>
      <c r="D4" s="25"/>
      <c r="E4" s="25"/>
      <c r="F4" s="25"/>
    </row>
    <row r="5" spans="1:6" ht="42">
      <c r="A5" s="25"/>
      <c r="B5" s="26" t="s">
        <v>4</v>
      </c>
      <c r="C5" s="27">
        <f>C3*C4</f>
        <v>25773.9</v>
      </c>
      <c r="D5" s="25"/>
      <c r="E5" s="25"/>
      <c r="F5" s="25"/>
    </row>
    <row r="6" spans="1:6">
      <c r="A6" s="25"/>
      <c r="B6" s="25"/>
      <c r="C6" s="25"/>
      <c r="D6" s="25"/>
      <c r="E6" s="25"/>
      <c r="F6" s="25"/>
    </row>
    <row r="7" spans="1:6">
      <c r="A7" s="25"/>
      <c r="B7" s="25"/>
      <c r="C7" s="25"/>
      <c r="D7" s="25"/>
      <c r="E7" s="25"/>
      <c r="F7" s="25"/>
    </row>
    <row r="8" spans="1:6">
      <c r="A8" s="29" t="s">
        <v>5</v>
      </c>
      <c r="B8" s="30" t="s">
        <v>6</v>
      </c>
      <c r="C8" s="30" t="s">
        <v>7</v>
      </c>
      <c r="D8" s="30" t="s">
        <v>8</v>
      </c>
      <c r="E8" s="30" t="s">
        <v>9</v>
      </c>
      <c r="F8" s="31" t="s">
        <v>10</v>
      </c>
    </row>
    <row r="9" spans="1:6">
      <c r="A9" s="35" t="s">
        <v>11</v>
      </c>
      <c r="B9" s="36"/>
      <c r="C9" s="36"/>
      <c r="D9" s="36"/>
      <c r="E9" s="37"/>
      <c r="F9" s="38"/>
    </row>
    <row r="10" spans="1:6">
      <c r="A10" s="12" t="s">
        <v>12</v>
      </c>
      <c r="B10" s="21">
        <v>1</v>
      </c>
      <c r="C10" s="21">
        <v>500</v>
      </c>
      <c r="D10" s="21">
        <f>B10*C10</f>
        <v>500</v>
      </c>
      <c r="E10" s="20">
        <v>5</v>
      </c>
      <c r="F10" s="14" t="s">
        <v>13</v>
      </c>
    </row>
    <row r="11" spans="1:6">
      <c r="A11" s="12" t="s">
        <v>14</v>
      </c>
      <c r="B11" s="21">
        <v>3</v>
      </c>
      <c r="C11" s="21">
        <v>120</v>
      </c>
      <c r="D11" s="21">
        <f>B11*C11</f>
        <v>360</v>
      </c>
      <c r="E11" s="20">
        <v>5</v>
      </c>
      <c r="F11" s="14" t="s">
        <v>15</v>
      </c>
    </row>
    <row r="12" spans="1:6">
      <c r="A12" s="12" t="s">
        <v>16</v>
      </c>
      <c r="B12" s="21">
        <v>4</v>
      </c>
      <c r="C12" s="21">
        <v>65</v>
      </c>
      <c r="D12" s="21">
        <f>B12*C12</f>
        <v>260</v>
      </c>
      <c r="E12" s="20">
        <v>5</v>
      </c>
      <c r="F12" s="14"/>
    </row>
    <row r="13" spans="1:6">
      <c r="A13" s="12" t="s">
        <v>17</v>
      </c>
      <c r="B13" s="21">
        <v>1</v>
      </c>
      <c r="C13" s="21">
        <v>120</v>
      </c>
      <c r="D13" s="21">
        <f>B13*C13</f>
        <v>120</v>
      </c>
      <c r="E13" s="20">
        <v>5</v>
      </c>
      <c r="F13" s="14" t="s">
        <v>18</v>
      </c>
    </row>
    <row r="14" spans="1:6">
      <c r="A14" s="12" t="s">
        <v>19</v>
      </c>
      <c r="B14" s="21">
        <v>1</v>
      </c>
      <c r="C14" s="21">
        <v>80</v>
      </c>
      <c r="D14" s="21">
        <f>B14*C14</f>
        <v>80</v>
      </c>
      <c r="E14" s="20">
        <v>5</v>
      </c>
      <c r="F14" s="14" t="s">
        <v>20</v>
      </c>
    </row>
    <row r="15" spans="1:6">
      <c r="A15" s="12"/>
      <c r="B15" s="21"/>
      <c r="C15" s="22" t="s">
        <v>21</v>
      </c>
      <c r="D15" s="22">
        <f>SUM(D10:D14)</f>
        <v>1320</v>
      </c>
      <c r="E15" s="20"/>
      <c r="F15" s="14"/>
    </row>
    <row r="16" spans="1:6">
      <c r="A16" s="12"/>
      <c r="B16" s="21"/>
      <c r="C16" s="21"/>
      <c r="D16" s="21"/>
      <c r="E16" s="20"/>
      <c r="F16" s="14"/>
    </row>
    <row r="17" spans="1:6">
      <c r="A17" s="35" t="s">
        <v>22</v>
      </c>
      <c r="B17" s="39"/>
      <c r="C17" s="39"/>
      <c r="D17" s="39"/>
      <c r="E17" s="40"/>
      <c r="F17" s="38"/>
    </row>
    <row r="18" spans="1:6">
      <c r="A18" s="12" t="s">
        <v>23</v>
      </c>
      <c r="B18" s="21">
        <v>28</v>
      </c>
      <c r="C18" s="21">
        <v>300</v>
      </c>
      <c r="D18" s="21">
        <f t="shared" ref="D18:D25" si="0">B18*C18</f>
        <v>8400</v>
      </c>
      <c r="E18" s="20">
        <v>5</v>
      </c>
      <c r="F18" s="14" t="s">
        <v>24</v>
      </c>
    </row>
    <row r="19" spans="1:6">
      <c r="A19" s="12" t="s">
        <v>25</v>
      </c>
      <c r="B19" s="21">
        <v>4</v>
      </c>
      <c r="C19" s="21">
        <v>320</v>
      </c>
      <c r="D19" s="21">
        <f t="shared" si="0"/>
        <v>1280</v>
      </c>
      <c r="E19" s="20">
        <v>5</v>
      </c>
      <c r="F19" s="14" t="s">
        <v>26</v>
      </c>
    </row>
    <row r="20" spans="1:6">
      <c r="A20" s="12" t="s">
        <v>27</v>
      </c>
      <c r="B20" s="21">
        <v>32</v>
      </c>
      <c r="C20" s="21">
        <v>60</v>
      </c>
      <c r="D20" s="21">
        <f t="shared" si="0"/>
        <v>1920</v>
      </c>
      <c r="E20" s="20">
        <v>5</v>
      </c>
      <c r="F20" s="14"/>
    </row>
    <row r="21" spans="1:6">
      <c r="A21" s="12" t="s">
        <v>28</v>
      </c>
      <c r="B21" s="21">
        <v>8</v>
      </c>
      <c r="C21" s="21">
        <v>45</v>
      </c>
      <c r="D21" s="21">
        <f t="shared" si="0"/>
        <v>360</v>
      </c>
      <c r="E21" s="20">
        <v>5</v>
      </c>
      <c r="F21" s="14" t="s">
        <v>29</v>
      </c>
    </row>
    <row r="22" spans="1:6">
      <c r="A22" s="12" t="s">
        <v>30</v>
      </c>
      <c r="B22" s="21">
        <v>4</v>
      </c>
      <c r="C22" s="21">
        <v>60</v>
      </c>
      <c r="D22" s="21">
        <f t="shared" si="0"/>
        <v>240</v>
      </c>
      <c r="E22" s="20">
        <v>5</v>
      </c>
      <c r="F22" s="14"/>
    </row>
    <row r="23" spans="1:6">
      <c r="A23" s="12" t="s">
        <v>31</v>
      </c>
      <c r="B23" s="21">
        <v>8</v>
      </c>
      <c r="C23" s="21">
        <v>40</v>
      </c>
      <c r="D23" s="21">
        <f t="shared" si="0"/>
        <v>320</v>
      </c>
      <c r="E23" s="20">
        <v>5</v>
      </c>
      <c r="F23" s="14" t="s">
        <v>32</v>
      </c>
    </row>
    <row r="24" spans="1:6">
      <c r="A24" s="12" t="s">
        <v>33</v>
      </c>
      <c r="B24" s="21">
        <v>2</v>
      </c>
      <c r="C24" s="21">
        <v>180</v>
      </c>
      <c r="D24" s="21">
        <f t="shared" si="0"/>
        <v>360</v>
      </c>
      <c r="E24" s="20">
        <v>5</v>
      </c>
      <c r="F24" s="14"/>
    </row>
    <row r="25" spans="1:6">
      <c r="A25" s="12" t="s">
        <v>34</v>
      </c>
      <c r="B25" s="21">
        <v>2</v>
      </c>
      <c r="C25" s="21">
        <v>160</v>
      </c>
      <c r="D25" s="21">
        <f t="shared" si="0"/>
        <v>320</v>
      </c>
      <c r="E25" s="20">
        <v>5</v>
      </c>
      <c r="F25" s="14"/>
    </row>
    <row r="26" spans="1:6">
      <c r="A26" s="12"/>
      <c r="B26" s="21"/>
      <c r="C26" s="22" t="s">
        <v>21</v>
      </c>
      <c r="D26" s="22">
        <f>SUM(D18:D25)</f>
        <v>13200</v>
      </c>
      <c r="E26" s="20"/>
      <c r="F26" s="14"/>
    </row>
    <row r="27" spans="1:6">
      <c r="A27" s="12"/>
      <c r="B27" s="21"/>
      <c r="C27" s="21"/>
      <c r="D27" s="21"/>
      <c r="E27" s="20"/>
      <c r="F27" s="14"/>
    </row>
    <row r="28" spans="1:6">
      <c r="A28" s="35" t="s">
        <v>35</v>
      </c>
      <c r="B28" s="39"/>
      <c r="C28" s="39"/>
      <c r="D28" s="39"/>
      <c r="E28" s="40"/>
      <c r="F28" s="38"/>
    </row>
    <row r="29" spans="1:6">
      <c r="A29" s="12" t="s">
        <v>36</v>
      </c>
      <c r="B29" s="21">
        <v>2</v>
      </c>
      <c r="C29" s="21">
        <v>240</v>
      </c>
      <c r="D29" s="21">
        <f t="shared" ref="D29:D34" si="1">B29*C29</f>
        <v>480</v>
      </c>
      <c r="E29" s="20">
        <v>5</v>
      </c>
      <c r="F29" s="14" t="s">
        <v>37</v>
      </c>
    </row>
    <row r="30" spans="1:6">
      <c r="A30" s="12" t="s">
        <v>38</v>
      </c>
      <c r="B30" s="21">
        <v>1</v>
      </c>
      <c r="C30" s="21">
        <v>300</v>
      </c>
      <c r="D30" s="21">
        <f t="shared" si="1"/>
        <v>300</v>
      </c>
      <c r="E30" s="20">
        <v>5</v>
      </c>
      <c r="F30" s="14"/>
    </row>
    <row r="31" spans="1:6">
      <c r="A31" s="12" t="s">
        <v>39</v>
      </c>
      <c r="B31" s="21">
        <v>1</v>
      </c>
      <c r="C31" s="21">
        <v>280</v>
      </c>
      <c r="D31" s="21">
        <f t="shared" si="1"/>
        <v>280</v>
      </c>
      <c r="E31" s="20">
        <v>5</v>
      </c>
      <c r="F31" s="14" t="s">
        <v>40</v>
      </c>
    </row>
    <row r="32" spans="1:6">
      <c r="A32" s="12" t="s">
        <v>41</v>
      </c>
      <c r="B32" s="21">
        <v>2</v>
      </c>
      <c r="C32" s="21">
        <v>55</v>
      </c>
      <c r="D32" s="21">
        <f t="shared" si="1"/>
        <v>110</v>
      </c>
      <c r="E32" s="20">
        <v>5</v>
      </c>
      <c r="F32" s="14"/>
    </row>
    <row r="33" spans="1:6">
      <c r="A33" s="12" t="s">
        <v>42</v>
      </c>
      <c r="B33" s="21">
        <v>2</v>
      </c>
      <c r="C33" s="21">
        <v>120</v>
      </c>
      <c r="D33" s="21">
        <f t="shared" si="1"/>
        <v>240</v>
      </c>
      <c r="E33" s="20">
        <v>5</v>
      </c>
      <c r="F33" s="14"/>
    </row>
    <row r="34" spans="1:6">
      <c r="A34" s="12" t="s">
        <v>43</v>
      </c>
      <c r="B34" s="21">
        <v>2</v>
      </c>
      <c r="C34" s="21">
        <v>140</v>
      </c>
      <c r="D34" s="21">
        <f t="shared" si="1"/>
        <v>280</v>
      </c>
      <c r="E34" s="20">
        <v>5</v>
      </c>
      <c r="F34" s="14" t="s">
        <v>44</v>
      </c>
    </row>
    <row r="35" spans="1:6">
      <c r="A35" s="12"/>
      <c r="B35" s="21"/>
      <c r="C35" s="22" t="s">
        <v>21</v>
      </c>
      <c r="D35" s="22">
        <f>SUM(D29:D34)</f>
        <v>1690</v>
      </c>
      <c r="E35" s="20"/>
      <c r="F35" s="14"/>
    </row>
    <row r="36" spans="1:6">
      <c r="A36" s="12"/>
      <c r="B36" s="21"/>
      <c r="C36" s="21"/>
      <c r="D36" s="21"/>
      <c r="E36" s="20"/>
      <c r="F36" s="14"/>
    </row>
    <row r="37" spans="1:6">
      <c r="A37" s="12"/>
      <c r="B37" s="23"/>
      <c r="C37" s="15" t="s">
        <v>21</v>
      </c>
      <c r="D37" s="15">
        <f>C3</f>
        <v>16210</v>
      </c>
      <c r="E37" s="13"/>
      <c r="F37" s="14"/>
    </row>
    <row r="38" spans="1:6" ht="28">
      <c r="A38" s="12"/>
      <c r="B38" s="23"/>
      <c r="C38" s="15" t="s">
        <v>45</v>
      </c>
      <c r="D38" s="15">
        <f>C4</f>
        <v>1.59</v>
      </c>
      <c r="E38" s="13"/>
      <c r="F38" s="14"/>
    </row>
    <row r="39" spans="1:6" ht="28">
      <c r="A39" s="16"/>
      <c r="B39" s="24"/>
      <c r="C39" s="18" t="s">
        <v>46</v>
      </c>
      <c r="D39" s="18">
        <f>C5</f>
        <v>25773.9</v>
      </c>
      <c r="E39" s="17"/>
      <c r="F39" s="19"/>
    </row>
  </sheetData>
  <mergeCells count="4">
    <mergeCell ref="A1:F1"/>
    <mergeCell ref="A9:F9"/>
    <mergeCell ref="A17:F17"/>
    <mergeCell ref="A28:F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>
      <selection sqref="A1:F1"/>
    </sheetView>
  </sheetViews>
  <sheetFormatPr defaultRowHeight="14"/>
  <cols>
    <col min="1" max="1" width="31" customWidth="1"/>
    <col min="2" max="2" width="11" customWidth="1"/>
    <col min="3" max="4" width="13" customWidth="1"/>
    <col min="5" max="5" width="8" customWidth="1"/>
    <col min="6" max="6" width="42" customWidth="1"/>
  </cols>
  <sheetData>
    <row r="1" spans="1:6" ht="18">
      <c r="A1" s="34" t="s">
        <v>47</v>
      </c>
      <c r="B1" s="34"/>
      <c r="C1" s="34"/>
      <c r="D1" s="34"/>
      <c r="E1" s="34"/>
      <c r="F1" s="34"/>
    </row>
    <row r="2" spans="1:6">
      <c r="A2" s="25"/>
      <c r="B2" s="25"/>
      <c r="C2" s="25"/>
      <c r="D2" s="25"/>
      <c r="E2" s="25"/>
      <c r="F2" s="25"/>
    </row>
    <row r="3" spans="1:6" ht="42">
      <c r="A3" s="25"/>
      <c r="B3" s="26" t="s">
        <v>1</v>
      </c>
      <c r="C3" s="27">
        <f>SUM(D17,D25,D35,D45)</f>
        <v>20350</v>
      </c>
      <c r="D3" s="26" t="s">
        <v>2</v>
      </c>
      <c r="E3" s="27">
        <f>C5</f>
        <v>28693.5</v>
      </c>
      <c r="F3" s="25"/>
    </row>
    <row r="4" spans="1:6" ht="42">
      <c r="A4" s="25"/>
      <c r="B4" s="26" t="s">
        <v>3</v>
      </c>
      <c r="C4" s="28">
        <v>1.41</v>
      </c>
      <c r="D4" s="25"/>
      <c r="E4" s="25"/>
      <c r="F4" s="25"/>
    </row>
    <row r="5" spans="1:6" ht="42">
      <c r="A5" s="25"/>
      <c r="B5" s="26" t="s">
        <v>4</v>
      </c>
      <c r="C5" s="27">
        <f>C3*C4</f>
        <v>28693.5</v>
      </c>
      <c r="D5" s="25"/>
      <c r="E5" s="25"/>
      <c r="F5" s="25"/>
    </row>
    <row r="6" spans="1:6">
      <c r="A6" s="25"/>
      <c r="B6" s="25"/>
      <c r="C6" s="25"/>
      <c r="D6" s="25"/>
      <c r="E6" s="25"/>
      <c r="F6" s="25"/>
    </row>
    <row r="7" spans="1:6">
      <c r="A7" s="25"/>
      <c r="B7" s="25"/>
      <c r="C7" s="25"/>
      <c r="D7" s="25"/>
      <c r="E7" s="25"/>
      <c r="F7" s="25"/>
    </row>
    <row r="8" spans="1:6">
      <c r="A8" s="29" t="s">
        <v>5</v>
      </c>
      <c r="B8" s="30" t="s">
        <v>6</v>
      </c>
      <c r="C8" s="30" t="s">
        <v>7</v>
      </c>
      <c r="D8" s="30" t="s">
        <v>8</v>
      </c>
      <c r="E8" s="30" t="s">
        <v>9</v>
      </c>
      <c r="F8" s="31" t="s">
        <v>10</v>
      </c>
    </row>
    <row r="9" spans="1:6">
      <c r="A9" s="35" t="s">
        <v>11</v>
      </c>
      <c r="B9" s="36"/>
      <c r="C9" s="36"/>
      <c r="D9" s="36"/>
      <c r="E9" s="37"/>
      <c r="F9" s="38"/>
    </row>
    <row r="10" spans="1:6">
      <c r="A10" s="12" t="s">
        <v>48</v>
      </c>
      <c r="B10" s="21">
        <v>1</v>
      </c>
      <c r="C10" s="21">
        <v>220</v>
      </c>
      <c r="D10" s="21">
        <f t="shared" ref="D10:D16" si="0">B10*C10</f>
        <v>220</v>
      </c>
      <c r="E10" s="20">
        <v>1</v>
      </c>
      <c r="F10" s="14" t="s">
        <v>49</v>
      </c>
    </row>
    <row r="11" spans="1:6">
      <c r="A11" s="12" t="s">
        <v>50</v>
      </c>
      <c r="B11" s="21">
        <v>1</v>
      </c>
      <c r="C11" s="21">
        <v>180</v>
      </c>
      <c r="D11" s="21">
        <f t="shared" si="0"/>
        <v>180</v>
      </c>
      <c r="E11" s="20">
        <v>1</v>
      </c>
      <c r="F11" s="14" t="s">
        <v>51</v>
      </c>
    </row>
    <row r="12" spans="1:6">
      <c r="A12" s="12" t="s">
        <v>52</v>
      </c>
      <c r="B12" s="21">
        <v>1</v>
      </c>
      <c r="C12" s="21">
        <v>900</v>
      </c>
      <c r="D12" s="21">
        <f t="shared" si="0"/>
        <v>900</v>
      </c>
      <c r="E12" s="20">
        <v>1</v>
      </c>
      <c r="F12" s="14" t="s">
        <v>53</v>
      </c>
    </row>
    <row r="13" spans="1:6">
      <c r="A13" s="12" t="s">
        <v>54</v>
      </c>
      <c r="B13" s="21">
        <v>1</v>
      </c>
      <c r="C13" s="21">
        <v>420</v>
      </c>
      <c r="D13" s="21">
        <f t="shared" si="0"/>
        <v>420</v>
      </c>
      <c r="E13" s="20">
        <v>1</v>
      </c>
      <c r="F13" s="14" t="s">
        <v>55</v>
      </c>
    </row>
    <row r="14" spans="1:6">
      <c r="A14" s="12" t="s">
        <v>56</v>
      </c>
      <c r="B14" s="21">
        <v>4</v>
      </c>
      <c r="C14" s="21">
        <v>100</v>
      </c>
      <c r="D14" s="21">
        <f t="shared" si="0"/>
        <v>400</v>
      </c>
      <c r="E14" s="20">
        <v>1</v>
      </c>
      <c r="F14" s="14" t="s">
        <v>57</v>
      </c>
    </row>
    <row r="15" spans="1:6">
      <c r="A15" s="12" t="s">
        <v>16</v>
      </c>
      <c r="B15" s="21">
        <v>8</v>
      </c>
      <c r="C15" s="21">
        <v>65</v>
      </c>
      <c r="D15" s="21">
        <f t="shared" si="0"/>
        <v>520</v>
      </c>
      <c r="E15" s="20">
        <v>1</v>
      </c>
      <c r="F15" s="14" t="s">
        <v>58</v>
      </c>
    </row>
    <row r="16" spans="1:6">
      <c r="A16" s="12" t="s">
        <v>59</v>
      </c>
      <c r="B16" s="21">
        <v>3</v>
      </c>
      <c r="C16" s="21">
        <v>120</v>
      </c>
      <c r="D16" s="21">
        <f t="shared" si="0"/>
        <v>360</v>
      </c>
      <c r="E16" s="20">
        <v>1</v>
      </c>
      <c r="F16" s="14" t="s">
        <v>60</v>
      </c>
    </row>
    <row r="17" spans="1:6">
      <c r="A17" s="12"/>
      <c r="B17" s="21"/>
      <c r="C17" s="22" t="s">
        <v>21</v>
      </c>
      <c r="D17" s="22">
        <f>SUM(D10:D16)</f>
        <v>3000</v>
      </c>
      <c r="E17" s="20"/>
      <c r="F17" s="14"/>
    </row>
    <row r="18" spans="1:6">
      <c r="A18" s="12"/>
      <c r="B18" s="21"/>
      <c r="C18" s="21"/>
      <c r="D18" s="21"/>
      <c r="E18" s="20"/>
      <c r="F18" s="14"/>
    </row>
    <row r="19" spans="1:6">
      <c r="A19" s="35" t="s">
        <v>61</v>
      </c>
      <c r="B19" s="39"/>
      <c r="C19" s="39"/>
      <c r="D19" s="39"/>
      <c r="E19" s="40"/>
      <c r="F19" s="38"/>
    </row>
    <row r="20" spans="1:6">
      <c r="A20" s="12" t="s">
        <v>62</v>
      </c>
      <c r="B20" s="21">
        <v>6</v>
      </c>
      <c r="C20" s="21">
        <v>140</v>
      </c>
      <c r="D20" s="21">
        <f>B20*C20</f>
        <v>840</v>
      </c>
      <c r="E20" s="20">
        <v>1</v>
      </c>
      <c r="F20" s="14" t="s">
        <v>63</v>
      </c>
    </row>
    <row r="21" spans="1:6">
      <c r="A21" s="12" t="s">
        <v>64</v>
      </c>
      <c r="B21" s="21">
        <v>6</v>
      </c>
      <c r="C21" s="21">
        <v>60</v>
      </c>
      <c r="D21" s="21">
        <f>B21*C21</f>
        <v>360</v>
      </c>
      <c r="E21" s="20">
        <v>1</v>
      </c>
      <c r="F21" s="14" t="s">
        <v>65</v>
      </c>
    </row>
    <row r="22" spans="1:6">
      <c r="A22" s="12" t="s">
        <v>66</v>
      </c>
      <c r="B22" s="21">
        <v>4</v>
      </c>
      <c r="C22" s="21">
        <v>70</v>
      </c>
      <c r="D22" s="21">
        <f>B22*C22</f>
        <v>280</v>
      </c>
      <c r="E22" s="20">
        <v>1</v>
      </c>
      <c r="F22" s="14"/>
    </row>
    <row r="23" spans="1:6">
      <c r="A23" s="12" t="s">
        <v>67</v>
      </c>
      <c r="B23" s="21">
        <v>4</v>
      </c>
      <c r="C23" s="21">
        <v>100</v>
      </c>
      <c r="D23" s="21">
        <f>B23*C23</f>
        <v>400</v>
      </c>
      <c r="E23" s="20">
        <v>1</v>
      </c>
      <c r="F23" s="14"/>
    </row>
    <row r="24" spans="1:6">
      <c r="A24" s="12" t="s">
        <v>68</v>
      </c>
      <c r="B24" s="21">
        <v>1</v>
      </c>
      <c r="C24" s="21">
        <v>160</v>
      </c>
      <c r="D24" s="21">
        <f>B24*C24</f>
        <v>160</v>
      </c>
      <c r="E24" s="20">
        <v>1</v>
      </c>
      <c r="F24" s="14" t="s">
        <v>69</v>
      </c>
    </row>
    <row r="25" spans="1:6">
      <c r="A25" s="12"/>
      <c r="B25" s="21"/>
      <c r="C25" s="22" t="s">
        <v>21</v>
      </c>
      <c r="D25" s="22">
        <f>SUM(D20:D24)</f>
        <v>2040</v>
      </c>
      <c r="E25" s="20"/>
      <c r="F25" s="14"/>
    </row>
    <row r="26" spans="1:6">
      <c r="A26" s="12"/>
      <c r="B26" s="21"/>
      <c r="C26" s="21"/>
      <c r="D26" s="21"/>
      <c r="E26" s="20"/>
      <c r="F26" s="14"/>
    </row>
    <row r="27" spans="1:6">
      <c r="A27" s="35" t="s">
        <v>70</v>
      </c>
      <c r="B27" s="39"/>
      <c r="C27" s="39"/>
      <c r="D27" s="39"/>
      <c r="E27" s="40"/>
      <c r="F27" s="38"/>
    </row>
    <row r="28" spans="1:6">
      <c r="A28" s="12" t="s">
        <v>71</v>
      </c>
      <c r="B28" s="21">
        <v>32</v>
      </c>
      <c r="C28" s="21">
        <v>150</v>
      </c>
      <c r="D28" s="21">
        <f t="shared" ref="D28:D34" si="1">B28*C28</f>
        <v>4800</v>
      </c>
      <c r="E28" s="20">
        <v>1</v>
      </c>
      <c r="F28" s="14" t="s">
        <v>72</v>
      </c>
    </row>
    <row r="29" spans="1:6">
      <c r="A29" s="12" t="s">
        <v>73</v>
      </c>
      <c r="B29" s="21">
        <v>6</v>
      </c>
      <c r="C29" s="21">
        <v>300</v>
      </c>
      <c r="D29" s="21">
        <f t="shared" si="1"/>
        <v>1800</v>
      </c>
      <c r="E29" s="20">
        <v>1</v>
      </c>
      <c r="F29" s="14" t="s">
        <v>74</v>
      </c>
    </row>
    <row r="30" spans="1:6">
      <c r="A30" s="12" t="s">
        <v>75</v>
      </c>
      <c r="B30" s="21">
        <v>6</v>
      </c>
      <c r="C30" s="21">
        <v>180</v>
      </c>
      <c r="D30" s="21">
        <f t="shared" si="1"/>
        <v>1080</v>
      </c>
      <c r="E30" s="20">
        <v>1</v>
      </c>
      <c r="F30" s="14" t="s">
        <v>76</v>
      </c>
    </row>
    <row r="31" spans="1:6">
      <c r="A31" s="12" t="s">
        <v>77</v>
      </c>
      <c r="B31" s="21">
        <v>8</v>
      </c>
      <c r="C31" s="21">
        <v>140</v>
      </c>
      <c r="D31" s="21">
        <f t="shared" si="1"/>
        <v>1120</v>
      </c>
      <c r="E31" s="20">
        <v>1</v>
      </c>
      <c r="F31" s="14" t="s">
        <v>78</v>
      </c>
    </row>
    <row r="32" spans="1:6">
      <c r="A32" s="12" t="s">
        <v>79</v>
      </c>
      <c r="B32" s="21">
        <v>10</v>
      </c>
      <c r="C32" s="21">
        <v>120</v>
      </c>
      <c r="D32" s="21">
        <f t="shared" si="1"/>
        <v>1200</v>
      </c>
      <c r="E32" s="20">
        <v>1</v>
      </c>
      <c r="F32" s="14" t="s">
        <v>80</v>
      </c>
    </row>
    <row r="33" spans="1:6">
      <c r="A33" s="12" t="s">
        <v>81</v>
      </c>
      <c r="B33" s="21">
        <v>3</v>
      </c>
      <c r="C33" s="21">
        <v>220</v>
      </c>
      <c r="D33" s="21">
        <f t="shared" si="1"/>
        <v>660</v>
      </c>
      <c r="E33" s="20">
        <v>1</v>
      </c>
      <c r="F33" s="14" t="s">
        <v>82</v>
      </c>
    </row>
    <row r="34" spans="1:6">
      <c r="A34" s="12" t="s">
        <v>36</v>
      </c>
      <c r="B34" s="21">
        <v>4</v>
      </c>
      <c r="C34" s="21">
        <v>260</v>
      </c>
      <c r="D34" s="21">
        <f t="shared" si="1"/>
        <v>1040</v>
      </c>
      <c r="E34" s="20">
        <v>1</v>
      </c>
      <c r="F34" s="14" t="s">
        <v>83</v>
      </c>
    </row>
    <row r="35" spans="1:6">
      <c r="A35" s="12"/>
      <c r="B35" s="21"/>
      <c r="C35" s="22" t="s">
        <v>21</v>
      </c>
      <c r="D35" s="22">
        <f>SUM(D28:D34)</f>
        <v>11700</v>
      </c>
      <c r="E35" s="20"/>
      <c r="F35" s="14"/>
    </row>
    <row r="36" spans="1:6">
      <c r="A36" s="12"/>
      <c r="B36" s="21"/>
      <c r="C36" s="21"/>
      <c r="D36" s="21"/>
      <c r="E36" s="20"/>
      <c r="F36" s="14"/>
    </row>
    <row r="37" spans="1:6">
      <c r="A37" s="35" t="s">
        <v>84</v>
      </c>
      <c r="B37" s="39"/>
      <c r="C37" s="39"/>
      <c r="D37" s="39"/>
      <c r="E37" s="40"/>
      <c r="F37" s="38"/>
    </row>
    <row r="38" spans="1:6">
      <c r="A38" s="12" t="s">
        <v>43</v>
      </c>
      <c r="B38" s="21">
        <v>3</v>
      </c>
      <c r="C38" s="21">
        <v>140</v>
      </c>
      <c r="D38" s="21">
        <f t="shared" ref="D38:D44" si="2">B38*C38</f>
        <v>420</v>
      </c>
      <c r="E38" s="20">
        <v>1</v>
      </c>
      <c r="F38" s="14" t="s">
        <v>44</v>
      </c>
    </row>
    <row r="39" spans="1:6">
      <c r="A39" s="12" t="s">
        <v>33</v>
      </c>
      <c r="B39" s="21">
        <v>4</v>
      </c>
      <c r="C39" s="21">
        <v>180</v>
      </c>
      <c r="D39" s="21">
        <f t="shared" si="2"/>
        <v>720</v>
      </c>
      <c r="E39" s="20">
        <v>1</v>
      </c>
      <c r="F39" s="14"/>
    </row>
    <row r="40" spans="1:6">
      <c r="A40" s="12" t="s">
        <v>34</v>
      </c>
      <c r="B40" s="21">
        <v>4</v>
      </c>
      <c r="C40" s="21">
        <v>160</v>
      </c>
      <c r="D40" s="21">
        <f t="shared" si="2"/>
        <v>640</v>
      </c>
      <c r="E40" s="20">
        <v>1</v>
      </c>
      <c r="F40" s="14"/>
    </row>
    <row r="41" spans="1:6">
      <c r="A41" s="12" t="s">
        <v>85</v>
      </c>
      <c r="B41" s="21">
        <v>3</v>
      </c>
      <c r="C41" s="21">
        <v>250</v>
      </c>
      <c r="D41" s="21">
        <f t="shared" si="2"/>
        <v>750</v>
      </c>
      <c r="E41" s="20">
        <v>1</v>
      </c>
      <c r="F41" s="14" t="s">
        <v>86</v>
      </c>
    </row>
    <row r="42" spans="1:6">
      <c r="A42" s="12" t="s">
        <v>87</v>
      </c>
      <c r="B42" s="21">
        <v>1</v>
      </c>
      <c r="C42" s="21">
        <v>220</v>
      </c>
      <c r="D42" s="21">
        <f t="shared" si="2"/>
        <v>220</v>
      </c>
      <c r="E42" s="20">
        <v>1</v>
      </c>
      <c r="F42" s="14"/>
    </row>
    <row r="43" spans="1:6">
      <c r="A43" s="12" t="s">
        <v>88</v>
      </c>
      <c r="B43" s="21">
        <v>2</v>
      </c>
      <c r="C43" s="21">
        <v>240</v>
      </c>
      <c r="D43" s="21">
        <f t="shared" si="2"/>
        <v>480</v>
      </c>
      <c r="E43" s="20">
        <v>1</v>
      </c>
      <c r="F43" s="14"/>
    </row>
    <row r="44" spans="1:6">
      <c r="A44" s="12" t="s">
        <v>39</v>
      </c>
      <c r="B44" s="21">
        <v>1</v>
      </c>
      <c r="C44" s="21">
        <v>380</v>
      </c>
      <c r="D44" s="21">
        <f t="shared" si="2"/>
        <v>380</v>
      </c>
      <c r="E44" s="20">
        <v>1</v>
      </c>
      <c r="F44" s="14"/>
    </row>
    <row r="45" spans="1:6">
      <c r="A45" s="12"/>
      <c r="B45" s="21"/>
      <c r="C45" s="22" t="s">
        <v>21</v>
      </c>
      <c r="D45" s="22">
        <f>SUM(D38:D44)</f>
        <v>3610</v>
      </c>
      <c r="E45" s="20"/>
      <c r="F45" s="14"/>
    </row>
    <row r="46" spans="1:6">
      <c r="A46" s="12"/>
      <c r="B46" s="21"/>
      <c r="C46" s="21"/>
      <c r="D46" s="21"/>
      <c r="E46" s="20"/>
      <c r="F46" s="14"/>
    </row>
    <row r="47" spans="1:6">
      <c r="A47" s="12"/>
      <c r="B47" s="23"/>
      <c r="C47" s="15" t="s">
        <v>21</v>
      </c>
      <c r="D47" s="15">
        <f>C3</f>
        <v>20350</v>
      </c>
      <c r="E47" s="13"/>
      <c r="F47" s="14"/>
    </row>
    <row r="48" spans="1:6" ht="28">
      <c r="A48" s="12"/>
      <c r="B48" s="23"/>
      <c r="C48" s="15" t="s">
        <v>45</v>
      </c>
      <c r="D48" s="15">
        <f>C4</f>
        <v>1.41</v>
      </c>
      <c r="E48" s="13"/>
      <c r="F48" s="14"/>
    </row>
    <row r="49" spans="1:6" ht="28">
      <c r="A49" s="16"/>
      <c r="B49" s="24"/>
      <c r="C49" s="18" t="s">
        <v>46</v>
      </c>
      <c r="D49" s="18">
        <f>C5</f>
        <v>28693.5</v>
      </c>
      <c r="E49" s="17"/>
      <c r="F49" s="19"/>
    </row>
  </sheetData>
  <mergeCells count="5">
    <mergeCell ref="A1:F1"/>
    <mergeCell ref="A9:F9"/>
    <mergeCell ref="A19:F19"/>
    <mergeCell ref="A27:F27"/>
    <mergeCell ref="A37:F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9"/>
  <sheetViews>
    <sheetView workbookViewId="0">
      <selection sqref="A1:F1"/>
    </sheetView>
  </sheetViews>
  <sheetFormatPr defaultRowHeight="14"/>
  <cols>
    <col min="1" max="1" width="31" customWidth="1"/>
    <col min="2" max="2" width="11" customWidth="1"/>
    <col min="3" max="4" width="13" customWidth="1"/>
    <col min="5" max="5" width="8" customWidth="1"/>
    <col min="6" max="6" width="42" customWidth="1"/>
  </cols>
  <sheetData>
    <row r="1" spans="1:6" ht="18">
      <c r="A1" s="34" t="s">
        <v>89</v>
      </c>
      <c r="B1" s="34"/>
      <c r="C1" s="34"/>
      <c r="D1" s="34"/>
      <c r="E1" s="34"/>
      <c r="F1" s="34"/>
    </row>
    <row r="2" spans="1:6">
      <c r="A2" s="25"/>
      <c r="B2" s="25"/>
      <c r="C2" s="25"/>
      <c r="D2" s="25"/>
      <c r="E2" s="25"/>
      <c r="F2" s="25"/>
    </row>
    <row r="3" spans="1:6" ht="42">
      <c r="A3" s="25"/>
      <c r="B3" s="26" t="s">
        <v>1</v>
      </c>
      <c r="C3" s="27">
        <f>SUM(D15,D25,D35)</f>
        <v>14530</v>
      </c>
      <c r="D3" s="26" t="s">
        <v>2</v>
      </c>
      <c r="E3" s="27">
        <f>C5</f>
        <v>21504.400000000001</v>
      </c>
      <c r="F3" s="25"/>
    </row>
    <row r="4" spans="1:6" ht="42">
      <c r="A4" s="25"/>
      <c r="B4" s="26" t="s">
        <v>3</v>
      </c>
      <c r="C4" s="28">
        <v>1.48</v>
      </c>
      <c r="D4" s="25"/>
      <c r="E4" s="25"/>
      <c r="F4" s="25"/>
    </row>
    <row r="5" spans="1:6" ht="42">
      <c r="A5" s="25"/>
      <c r="B5" s="26" t="s">
        <v>4</v>
      </c>
      <c r="C5" s="27">
        <f>C3*C4</f>
        <v>21504.400000000001</v>
      </c>
      <c r="D5" s="25"/>
      <c r="E5" s="25"/>
      <c r="F5" s="25"/>
    </row>
    <row r="6" spans="1:6">
      <c r="A6" s="25"/>
      <c r="B6" s="25"/>
      <c r="C6" s="25"/>
      <c r="D6" s="25"/>
      <c r="E6" s="25"/>
      <c r="F6" s="25"/>
    </row>
    <row r="7" spans="1:6">
      <c r="A7" s="25"/>
      <c r="B7" s="25"/>
      <c r="C7" s="25"/>
      <c r="D7" s="25"/>
      <c r="E7" s="25"/>
      <c r="F7" s="25"/>
    </row>
    <row r="8" spans="1:6">
      <c r="A8" s="29" t="s">
        <v>5</v>
      </c>
      <c r="B8" s="30" t="s">
        <v>6</v>
      </c>
      <c r="C8" s="30" t="s">
        <v>7</v>
      </c>
      <c r="D8" s="30" t="s">
        <v>8</v>
      </c>
      <c r="E8" s="30" t="s">
        <v>9</v>
      </c>
      <c r="F8" s="31" t="s">
        <v>10</v>
      </c>
    </row>
    <row r="9" spans="1:6">
      <c r="A9" s="35" t="s">
        <v>11</v>
      </c>
      <c r="B9" s="36"/>
      <c r="C9" s="36"/>
      <c r="D9" s="36"/>
      <c r="E9" s="37"/>
      <c r="F9" s="38"/>
    </row>
    <row r="10" spans="1:6">
      <c r="A10" s="12" t="s">
        <v>17</v>
      </c>
      <c r="B10" s="21">
        <v>1</v>
      </c>
      <c r="C10" s="21">
        <v>180</v>
      </c>
      <c r="D10" s="21">
        <f>B10*C10</f>
        <v>180</v>
      </c>
      <c r="E10" s="20">
        <v>1</v>
      </c>
      <c r="F10" s="14"/>
    </row>
    <row r="11" spans="1:6">
      <c r="A11" s="12" t="s">
        <v>90</v>
      </c>
      <c r="B11" s="21">
        <v>1</v>
      </c>
      <c r="C11" s="21">
        <v>650</v>
      </c>
      <c r="D11" s="21">
        <f>B11*C11</f>
        <v>650</v>
      </c>
      <c r="E11" s="20">
        <v>1</v>
      </c>
      <c r="F11" s="14" t="s">
        <v>91</v>
      </c>
    </row>
    <row r="12" spans="1:6">
      <c r="A12" s="12" t="s">
        <v>92</v>
      </c>
      <c r="B12" s="21">
        <v>12</v>
      </c>
      <c r="C12" s="21">
        <v>55</v>
      </c>
      <c r="D12" s="21">
        <f>B12*C12</f>
        <v>660</v>
      </c>
      <c r="E12" s="20">
        <v>1</v>
      </c>
      <c r="F12" s="14" t="s">
        <v>93</v>
      </c>
    </row>
    <row r="13" spans="1:6">
      <c r="A13" s="12" t="s">
        <v>94</v>
      </c>
      <c r="B13" s="21">
        <v>6</v>
      </c>
      <c r="C13" s="21">
        <v>60</v>
      </c>
      <c r="D13" s="21">
        <f>B13*C13</f>
        <v>360</v>
      </c>
      <c r="E13" s="20">
        <v>1</v>
      </c>
      <c r="F13" s="14"/>
    </row>
    <row r="14" spans="1:6">
      <c r="A14" s="12" t="s">
        <v>14</v>
      </c>
      <c r="B14" s="21">
        <v>2</v>
      </c>
      <c r="C14" s="21">
        <v>120</v>
      </c>
      <c r="D14" s="21">
        <f>B14*C14</f>
        <v>240</v>
      </c>
      <c r="E14" s="20">
        <v>1</v>
      </c>
      <c r="F14" s="14"/>
    </row>
    <row r="15" spans="1:6">
      <c r="A15" s="12"/>
      <c r="B15" s="21"/>
      <c r="C15" s="22" t="s">
        <v>21</v>
      </c>
      <c r="D15" s="22">
        <f>SUM(D10:D14)</f>
        <v>2090</v>
      </c>
      <c r="E15" s="20"/>
      <c r="F15" s="14"/>
    </row>
    <row r="16" spans="1:6">
      <c r="A16" s="12"/>
      <c r="B16" s="21"/>
      <c r="C16" s="21"/>
      <c r="D16" s="21"/>
      <c r="E16" s="20"/>
      <c r="F16" s="14"/>
    </row>
    <row r="17" spans="1:6">
      <c r="A17" s="35" t="s">
        <v>95</v>
      </c>
      <c r="B17" s="39"/>
      <c r="C17" s="39"/>
      <c r="D17" s="39"/>
      <c r="E17" s="40"/>
      <c r="F17" s="38"/>
    </row>
    <row r="18" spans="1:6">
      <c r="A18" s="12" t="s">
        <v>96</v>
      </c>
      <c r="B18" s="21">
        <v>4</v>
      </c>
      <c r="C18" s="21">
        <v>420</v>
      </c>
      <c r="D18" s="21">
        <f t="shared" ref="D18:D24" si="0">B18*C18</f>
        <v>1680</v>
      </c>
      <c r="E18" s="20">
        <v>1</v>
      </c>
      <c r="F18" s="14" t="s">
        <v>97</v>
      </c>
    </row>
    <row r="19" spans="1:6">
      <c r="A19" s="12" t="s">
        <v>98</v>
      </c>
      <c r="B19" s="21">
        <v>3</v>
      </c>
      <c r="C19" s="21">
        <v>550</v>
      </c>
      <c r="D19" s="21">
        <f t="shared" si="0"/>
        <v>1650</v>
      </c>
      <c r="E19" s="20">
        <v>1</v>
      </c>
      <c r="F19" s="14" t="s">
        <v>99</v>
      </c>
    </row>
    <row r="20" spans="1:6">
      <c r="A20" s="12" t="s">
        <v>100</v>
      </c>
      <c r="B20" s="21">
        <v>2</v>
      </c>
      <c r="C20" s="21">
        <v>700</v>
      </c>
      <c r="D20" s="21">
        <f t="shared" si="0"/>
        <v>1400</v>
      </c>
      <c r="E20" s="20">
        <v>1</v>
      </c>
      <c r="F20" s="14" t="s">
        <v>101</v>
      </c>
    </row>
    <row r="21" spans="1:6">
      <c r="A21" s="12" t="s">
        <v>102</v>
      </c>
      <c r="B21" s="21">
        <v>6</v>
      </c>
      <c r="C21" s="21">
        <v>220</v>
      </c>
      <c r="D21" s="21">
        <f t="shared" si="0"/>
        <v>1320</v>
      </c>
      <c r="E21" s="20">
        <v>1</v>
      </c>
      <c r="F21" s="14"/>
    </row>
    <row r="22" spans="1:6">
      <c r="A22" s="12" t="s">
        <v>103</v>
      </c>
      <c r="B22" s="21">
        <v>2</v>
      </c>
      <c r="C22" s="21">
        <v>220</v>
      </c>
      <c r="D22" s="21">
        <f t="shared" si="0"/>
        <v>440</v>
      </c>
      <c r="E22" s="20">
        <v>1</v>
      </c>
      <c r="F22" s="14"/>
    </row>
    <row r="23" spans="1:6">
      <c r="A23" s="12" t="s">
        <v>104</v>
      </c>
      <c r="B23" s="21">
        <v>2</v>
      </c>
      <c r="C23" s="21">
        <v>500</v>
      </c>
      <c r="D23" s="21">
        <f t="shared" si="0"/>
        <v>1000</v>
      </c>
      <c r="E23" s="20">
        <v>1</v>
      </c>
      <c r="F23" s="14"/>
    </row>
    <row r="24" spans="1:6">
      <c r="A24" s="12" t="s">
        <v>105</v>
      </c>
      <c r="B24" s="21">
        <v>1</v>
      </c>
      <c r="C24" s="21">
        <v>650</v>
      </c>
      <c r="D24" s="21">
        <f t="shared" si="0"/>
        <v>650</v>
      </c>
      <c r="E24" s="20">
        <v>1</v>
      </c>
      <c r="F24" s="14" t="s">
        <v>106</v>
      </c>
    </row>
    <row r="25" spans="1:6">
      <c r="A25" s="12"/>
      <c r="B25" s="21"/>
      <c r="C25" s="22" t="s">
        <v>21</v>
      </c>
      <c r="D25" s="22">
        <f>SUM(D18:D24)</f>
        <v>8140</v>
      </c>
      <c r="E25" s="20"/>
      <c r="F25" s="14"/>
    </row>
    <row r="26" spans="1:6">
      <c r="A26" s="12"/>
      <c r="B26" s="21"/>
      <c r="C26" s="21"/>
      <c r="D26" s="21"/>
      <c r="E26" s="20"/>
      <c r="F26" s="14"/>
    </row>
    <row r="27" spans="1:6">
      <c r="A27" s="35" t="s">
        <v>107</v>
      </c>
      <c r="B27" s="39"/>
      <c r="C27" s="39"/>
      <c r="D27" s="39"/>
      <c r="E27" s="40"/>
      <c r="F27" s="38"/>
    </row>
    <row r="28" spans="1:6">
      <c r="A28" s="12" t="s">
        <v>108</v>
      </c>
      <c r="B28" s="21">
        <v>9</v>
      </c>
      <c r="C28" s="21">
        <v>120</v>
      </c>
      <c r="D28" s="21">
        <f t="shared" ref="D28:D34" si="1">B28*C28</f>
        <v>1080</v>
      </c>
      <c r="E28" s="20">
        <v>1</v>
      </c>
      <c r="F28" s="14" t="s">
        <v>109</v>
      </c>
    </row>
    <row r="29" spans="1:6">
      <c r="A29" s="12" t="s">
        <v>110</v>
      </c>
      <c r="B29" s="21">
        <v>6</v>
      </c>
      <c r="C29" s="21">
        <v>180</v>
      </c>
      <c r="D29" s="21">
        <f t="shared" si="1"/>
        <v>1080</v>
      </c>
      <c r="E29" s="20">
        <v>1</v>
      </c>
      <c r="F29" s="14" t="s">
        <v>111</v>
      </c>
    </row>
    <row r="30" spans="1:6">
      <c r="A30" s="12" t="s">
        <v>112</v>
      </c>
      <c r="B30" s="21">
        <v>2</v>
      </c>
      <c r="C30" s="21">
        <v>280</v>
      </c>
      <c r="D30" s="21">
        <f t="shared" si="1"/>
        <v>560</v>
      </c>
      <c r="E30" s="20">
        <v>1</v>
      </c>
      <c r="F30" s="14" t="s">
        <v>113</v>
      </c>
    </row>
    <row r="31" spans="1:6">
      <c r="A31" s="12" t="s">
        <v>114</v>
      </c>
      <c r="B31" s="21">
        <v>1</v>
      </c>
      <c r="C31" s="21">
        <v>220</v>
      </c>
      <c r="D31" s="21">
        <f t="shared" si="1"/>
        <v>220</v>
      </c>
      <c r="E31" s="20">
        <v>1</v>
      </c>
      <c r="F31" s="14"/>
    </row>
    <row r="32" spans="1:6">
      <c r="A32" s="12" t="s">
        <v>33</v>
      </c>
      <c r="B32" s="21">
        <v>2</v>
      </c>
      <c r="C32" s="21">
        <v>140</v>
      </c>
      <c r="D32" s="21">
        <f t="shared" si="1"/>
        <v>280</v>
      </c>
      <c r="E32" s="20">
        <v>1</v>
      </c>
      <c r="F32" s="14"/>
    </row>
    <row r="33" spans="1:6">
      <c r="A33" s="12" t="s">
        <v>34</v>
      </c>
      <c r="B33" s="21">
        <v>2</v>
      </c>
      <c r="C33" s="21">
        <v>120</v>
      </c>
      <c r="D33" s="21">
        <f t="shared" si="1"/>
        <v>240</v>
      </c>
      <c r="E33" s="20">
        <v>1</v>
      </c>
      <c r="F33" s="14"/>
    </row>
    <row r="34" spans="1:6">
      <c r="A34" s="12" t="s">
        <v>115</v>
      </c>
      <c r="B34" s="21">
        <v>12</v>
      </c>
      <c r="C34" s="21">
        <v>70</v>
      </c>
      <c r="D34" s="21">
        <f t="shared" si="1"/>
        <v>840</v>
      </c>
      <c r="E34" s="20">
        <v>1</v>
      </c>
      <c r="F34" s="14"/>
    </row>
    <row r="35" spans="1:6">
      <c r="A35" s="12"/>
      <c r="B35" s="21"/>
      <c r="C35" s="22" t="s">
        <v>21</v>
      </c>
      <c r="D35" s="22">
        <f>SUM(D28:D34)</f>
        <v>4300</v>
      </c>
      <c r="E35" s="20"/>
      <c r="F35" s="14"/>
    </row>
    <row r="36" spans="1:6">
      <c r="A36" s="12"/>
      <c r="B36" s="21"/>
      <c r="C36" s="21"/>
      <c r="D36" s="21"/>
      <c r="E36" s="20"/>
      <c r="F36" s="14"/>
    </row>
    <row r="37" spans="1:6">
      <c r="A37" s="12"/>
      <c r="B37" s="23"/>
      <c r="C37" s="15" t="s">
        <v>21</v>
      </c>
      <c r="D37" s="15">
        <f>C3</f>
        <v>14530</v>
      </c>
      <c r="E37" s="13"/>
      <c r="F37" s="14"/>
    </row>
    <row r="38" spans="1:6" ht="28">
      <c r="A38" s="12"/>
      <c r="B38" s="23"/>
      <c r="C38" s="15" t="s">
        <v>45</v>
      </c>
      <c r="D38" s="15">
        <f>C4</f>
        <v>1.48</v>
      </c>
      <c r="E38" s="13"/>
      <c r="F38" s="14"/>
    </row>
    <row r="39" spans="1:6" ht="28">
      <c r="A39" s="16"/>
      <c r="B39" s="24"/>
      <c r="C39" s="18" t="s">
        <v>46</v>
      </c>
      <c r="D39" s="18">
        <f>C5</f>
        <v>21504.400000000001</v>
      </c>
      <c r="E39" s="17"/>
      <c r="F39" s="19"/>
    </row>
  </sheetData>
  <mergeCells count="4">
    <mergeCell ref="A1:F1"/>
    <mergeCell ref="A9:F9"/>
    <mergeCell ref="A17:F17"/>
    <mergeCell ref="A27:F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5"/>
  <sheetViews>
    <sheetView workbookViewId="0">
      <selection sqref="A1:F1"/>
    </sheetView>
  </sheetViews>
  <sheetFormatPr defaultRowHeight="14"/>
  <cols>
    <col min="1" max="1" width="31" customWidth="1"/>
    <col min="2" max="2" width="11" customWidth="1"/>
    <col min="3" max="4" width="13" customWidth="1"/>
    <col min="5" max="5" width="8" customWidth="1"/>
    <col min="6" max="6" width="42" customWidth="1"/>
  </cols>
  <sheetData>
    <row r="1" spans="1:6" ht="18">
      <c r="A1" s="34" t="s">
        <v>116</v>
      </c>
      <c r="B1" s="34"/>
      <c r="C1" s="34"/>
      <c r="D1" s="34"/>
      <c r="E1" s="34"/>
      <c r="F1" s="34"/>
    </row>
    <row r="2" spans="1:6">
      <c r="A2" s="25"/>
      <c r="B2" s="25"/>
      <c r="C2" s="25"/>
      <c r="D2" s="25"/>
      <c r="E2" s="25"/>
      <c r="F2" s="25"/>
    </row>
    <row r="3" spans="1:6" ht="42">
      <c r="A3" s="25"/>
      <c r="B3" s="26" t="s">
        <v>1</v>
      </c>
      <c r="C3" s="27">
        <f>SUM(D14,D22,D31,D41)</f>
        <v>30990</v>
      </c>
      <c r="D3" s="26" t="s">
        <v>2</v>
      </c>
      <c r="E3" s="27">
        <f>C5</f>
        <v>45555.299999999996</v>
      </c>
      <c r="F3" s="25"/>
    </row>
    <row r="4" spans="1:6" ht="42">
      <c r="A4" s="25"/>
      <c r="B4" s="26" t="s">
        <v>3</v>
      </c>
      <c r="C4" s="28">
        <v>1.47</v>
      </c>
      <c r="D4" s="25"/>
      <c r="E4" s="25"/>
      <c r="F4" s="25"/>
    </row>
    <row r="5" spans="1:6" ht="42">
      <c r="A5" s="25"/>
      <c r="B5" s="26" t="s">
        <v>4</v>
      </c>
      <c r="C5" s="27">
        <f>C3*C4</f>
        <v>45555.299999999996</v>
      </c>
      <c r="D5" s="25"/>
      <c r="E5" s="25"/>
      <c r="F5" s="25"/>
    </row>
    <row r="6" spans="1:6">
      <c r="A6" s="25"/>
      <c r="B6" s="25"/>
      <c r="C6" s="25"/>
      <c r="D6" s="25"/>
      <c r="E6" s="25"/>
      <c r="F6" s="25"/>
    </row>
    <row r="7" spans="1:6">
      <c r="A7" s="25"/>
      <c r="B7" s="25"/>
      <c r="C7" s="25"/>
      <c r="D7" s="25"/>
      <c r="E7" s="25"/>
      <c r="F7" s="25"/>
    </row>
    <row r="8" spans="1:6">
      <c r="A8" s="29" t="s">
        <v>5</v>
      </c>
      <c r="B8" s="30" t="s">
        <v>6</v>
      </c>
      <c r="C8" s="30" t="s">
        <v>7</v>
      </c>
      <c r="D8" s="30" t="s">
        <v>8</v>
      </c>
      <c r="E8" s="30" t="s">
        <v>9</v>
      </c>
      <c r="F8" s="31" t="s">
        <v>10</v>
      </c>
    </row>
    <row r="9" spans="1:6">
      <c r="A9" s="35" t="s">
        <v>117</v>
      </c>
      <c r="B9" s="36"/>
      <c r="C9" s="36"/>
      <c r="D9" s="36"/>
      <c r="E9" s="37"/>
      <c r="F9" s="38"/>
    </row>
    <row r="10" spans="1:6">
      <c r="A10" s="12" t="s">
        <v>118</v>
      </c>
      <c r="B10" s="21">
        <v>1</v>
      </c>
      <c r="C10" s="21">
        <v>900</v>
      </c>
      <c r="D10" s="21">
        <f>B10*C10</f>
        <v>900</v>
      </c>
      <c r="E10" s="20">
        <v>2</v>
      </c>
      <c r="F10" s="14" t="s">
        <v>119</v>
      </c>
    </row>
    <row r="11" spans="1:6">
      <c r="A11" s="12" t="s">
        <v>59</v>
      </c>
      <c r="B11" s="21">
        <v>6</v>
      </c>
      <c r="C11" s="21">
        <v>120</v>
      </c>
      <c r="D11" s="21">
        <f>B11*C11</f>
        <v>720</v>
      </c>
      <c r="E11" s="20">
        <v>2</v>
      </c>
      <c r="F11" s="14" t="s">
        <v>120</v>
      </c>
    </row>
    <row r="12" spans="1:6">
      <c r="A12" s="12" t="s">
        <v>121</v>
      </c>
      <c r="B12" s="21">
        <v>1</v>
      </c>
      <c r="C12" s="21">
        <v>180</v>
      </c>
      <c r="D12" s="21">
        <f>B12*C12</f>
        <v>180</v>
      </c>
      <c r="E12" s="20">
        <v>2</v>
      </c>
      <c r="F12" s="14"/>
    </row>
    <row r="13" spans="1:6">
      <c r="A13" s="12" t="s">
        <v>16</v>
      </c>
      <c r="B13" s="21">
        <v>6</v>
      </c>
      <c r="C13" s="21">
        <v>65</v>
      </c>
      <c r="D13" s="21">
        <f>B13*C13</f>
        <v>390</v>
      </c>
      <c r="E13" s="20">
        <v>2</v>
      </c>
      <c r="F13" s="14"/>
    </row>
    <row r="14" spans="1:6">
      <c r="A14" s="12"/>
      <c r="B14" s="21"/>
      <c r="C14" s="22" t="s">
        <v>21</v>
      </c>
      <c r="D14" s="22">
        <f>SUM(D10:D13)</f>
        <v>2190</v>
      </c>
      <c r="E14" s="20"/>
      <c r="F14" s="14"/>
    </row>
    <row r="15" spans="1:6">
      <c r="A15" s="12"/>
      <c r="B15" s="21"/>
      <c r="C15" s="21"/>
      <c r="D15" s="21"/>
      <c r="E15" s="20"/>
      <c r="F15" s="14"/>
    </row>
    <row r="16" spans="1:6">
      <c r="A16" s="35" t="s">
        <v>122</v>
      </c>
      <c r="B16" s="39"/>
      <c r="C16" s="39"/>
      <c r="D16" s="39"/>
      <c r="E16" s="40"/>
      <c r="F16" s="38"/>
    </row>
    <row r="17" spans="1:6">
      <c r="A17" s="12" t="s">
        <v>123</v>
      </c>
      <c r="B17" s="21">
        <v>28</v>
      </c>
      <c r="C17" s="21">
        <v>110</v>
      </c>
      <c r="D17" s="21">
        <f>B17*C17</f>
        <v>3080</v>
      </c>
      <c r="E17" s="20">
        <v>2</v>
      </c>
      <c r="F17" s="14" t="s">
        <v>124</v>
      </c>
    </row>
    <row r="18" spans="1:6">
      <c r="A18" s="12" t="s">
        <v>125</v>
      </c>
      <c r="B18" s="21">
        <v>24</v>
      </c>
      <c r="C18" s="21">
        <v>130</v>
      </c>
      <c r="D18" s="21">
        <f>B18*C18</f>
        <v>3120</v>
      </c>
      <c r="E18" s="20">
        <v>2</v>
      </c>
      <c r="F18" s="14" t="s">
        <v>126</v>
      </c>
    </row>
    <row r="19" spans="1:6">
      <c r="A19" s="12" t="s">
        <v>127</v>
      </c>
      <c r="B19" s="21">
        <v>20</v>
      </c>
      <c r="C19" s="21">
        <v>80</v>
      </c>
      <c r="D19" s="21">
        <f>B19*C19</f>
        <v>1600</v>
      </c>
      <c r="E19" s="20">
        <v>2</v>
      </c>
      <c r="F19" s="14" t="s">
        <v>128</v>
      </c>
    </row>
    <row r="20" spans="1:6">
      <c r="A20" s="12" t="s">
        <v>129</v>
      </c>
      <c r="B20" s="21">
        <v>3</v>
      </c>
      <c r="C20" s="21">
        <v>160</v>
      </c>
      <c r="D20" s="21">
        <f>B20*C20</f>
        <v>480</v>
      </c>
      <c r="E20" s="20">
        <v>2</v>
      </c>
      <c r="F20" s="14"/>
    </row>
    <row r="21" spans="1:6">
      <c r="A21" s="12" t="s">
        <v>36</v>
      </c>
      <c r="B21" s="21">
        <v>3</v>
      </c>
      <c r="C21" s="21">
        <v>220</v>
      </c>
      <c r="D21" s="21">
        <f>B21*C21</f>
        <v>660</v>
      </c>
      <c r="E21" s="20">
        <v>2</v>
      </c>
      <c r="F21" s="14"/>
    </row>
    <row r="22" spans="1:6">
      <c r="A22" s="12"/>
      <c r="B22" s="21"/>
      <c r="C22" s="22" t="s">
        <v>21</v>
      </c>
      <c r="D22" s="22">
        <f>SUM(D17:D21)</f>
        <v>8940</v>
      </c>
      <c r="E22" s="20"/>
      <c r="F22" s="14"/>
    </row>
    <row r="23" spans="1:6">
      <c r="A23" s="12"/>
      <c r="B23" s="21"/>
      <c r="C23" s="21"/>
      <c r="D23" s="21"/>
      <c r="E23" s="20"/>
      <c r="F23" s="14"/>
    </row>
    <row r="24" spans="1:6">
      <c r="A24" s="35" t="s">
        <v>130</v>
      </c>
      <c r="B24" s="39"/>
      <c r="C24" s="39"/>
      <c r="D24" s="39"/>
      <c r="E24" s="40"/>
      <c r="F24" s="38"/>
    </row>
    <row r="25" spans="1:6">
      <c r="A25" s="12" t="s">
        <v>131</v>
      </c>
      <c r="B25" s="21">
        <v>12</v>
      </c>
      <c r="C25" s="21">
        <v>650</v>
      </c>
      <c r="D25" s="21">
        <f t="shared" ref="D25:D30" si="0">B25*C25</f>
        <v>7800</v>
      </c>
      <c r="E25" s="20">
        <v>2</v>
      </c>
      <c r="F25" s="14" t="s">
        <v>132</v>
      </c>
    </row>
    <row r="26" spans="1:6">
      <c r="A26" s="12" t="s">
        <v>133</v>
      </c>
      <c r="B26" s="21">
        <v>2</v>
      </c>
      <c r="C26" s="21">
        <v>900</v>
      </c>
      <c r="D26" s="21">
        <f t="shared" si="0"/>
        <v>1800</v>
      </c>
      <c r="E26" s="20">
        <v>2</v>
      </c>
      <c r="F26" s="14" t="s">
        <v>134</v>
      </c>
    </row>
    <row r="27" spans="1:6">
      <c r="A27" s="12" t="s">
        <v>135</v>
      </c>
      <c r="B27" s="21">
        <v>2</v>
      </c>
      <c r="C27" s="21">
        <v>750</v>
      </c>
      <c r="D27" s="21">
        <f t="shared" si="0"/>
        <v>1500</v>
      </c>
      <c r="E27" s="20">
        <v>2</v>
      </c>
      <c r="F27" s="14" t="s">
        <v>136</v>
      </c>
    </row>
    <row r="28" spans="1:6">
      <c r="A28" s="12" t="s">
        <v>137</v>
      </c>
      <c r="B28" s="21">
        <v>2</v>
      </c>
      <c r="C28" s="21">
        <v>600</v>
      </c>
      <c r="D28" s="21">
        <f t="shared" si="0"/>
        <v>1200</v>
      </c>
      <c r="E28" s="20">
        <v>2</v>
      </c>
      <c r="F28" s="14" t="s">
        <v>138</v>
      </c>
    </row>
    <row r="29" spans="1:6">
      <c r="A29" s="12" t="s">
        <v>139</v>
      </c>
      <c r="B29" s="21">
        <v>4</v>
      </c>
      <c r="C29" s="21">
        <v>150</v>
      </c>
      <c r="D29" s="21">
        <f t="shared" si="0"/>
        <v>600</v>
      </c>
      <c r="E29" s="20">
        <v>2</v>
      </c>
      <c r="F29" s="14" t="s">
        <v>140</v>
      </c>
    </row>
    <row r="30" spans="1:6">
      <c r="A30" s="12" t="s">
        <v>141</v>
      </c>
      <c r="B30" s="21">
        <v>6</v>
      </c>
      <c r="C30" s="21">
        <v>120</v>
      </c>
      <c r="D30" s="21">
        <f t="shared" si="0"/>
        <v>720</v>
      </c>
      <c r="E30" s="20">
        <v>2</v>
      </c>
      <c r="F30" s="14" t="s">
        <v>142</v>
      </c>
    </row>
    <row r="31" spans="1:6">
      <c r="A31" s="12"/>
      <c r="B31" s="21"/>
      <c r="C31" s="22" t="s">
        <v>21</v>
      </c>
      <c r="D31" s="22">
        <f>SUM(D25:D30)</f>
        <v>13620</v>
      </c>
      <c r="E31" s="20"/>
      <c r="F31" s="14"/>
    </row>
    <row r="32" spans="1:6">
      <c r="A32" s="12"/>
      <c r="B32" s="21"/>
      <c r="C32" s="21"/>
      <c r="D32" s="21"/>
      <c r="E32" s="20"/>
      <c r="F32" s="14"/>
    </row>
    <row r="33" spans="1:6">
      <c r="A33" s="35" t="s">
        <v>143</v>
      </c>
      <c r="B33" s="39"/>
      <c r="C33" s="39"/>
      <c r="D33" s="39"/>
      <c r="E33" s="40"/>
      <c r="F33" s="38"/>
    </row>
    <row r="34" spans="1:6">
      <c r="A34" s="12" t="s">
        <v>144</v>
      </c>
      <c r="B34" s="21">
        <v>1</v>
      </c>
      <c r="C34" s="21">
        <v>2200</v>
      </c>
      <c r="D34" s="21">
        <f t="shared" ref="D34:D40" si="1">B34*C34</f>
        <v>2200</v>
      </c>
      <c r="E34" s="20">
        <v>2</v>
      </c>
      <c r="F34" s="14" t="s">
        <v>145</v>
      </c>
    </row>
    <row r="35" spans="1:6">
      <c r="A35" s="12" t="s">
        <v>146</v>
      </c>
      <c r="B35" s="21">
        <v>1</v>
      </c>
      <c r="C35" s="21">
        <v>600</v>
      </c>
      <c r="D35" s="21">
        <f t="shared" si="1"/>
        <v>600</v>
      </c>
      <c r="E35" s="20">
        <v>2</v>
      </c>
      <c r="F35" s="14"/>
    </row>
    <row r="36" spans="1:6">
      <c r="A36" s="12" t="s">
        <v>147</v>
      </c>
      <c r="B36" s="21">
        <v>1</v>
      </c>
      <c r="C36" s="21">
        <v>350</v>
      </c>
      <c r="D36" s="21">
        <f t="shared" si="1"/>
        <v>350</v>
      </c>
      <c r="E36" s="20">
        <v>2</v>
      </c>
      <c r="F36" s="14"/>
    </row>
    <row r="37" spans="1:6">
      <c r="A37" s="12" t="s">
        <v>33</v>
      </c>
      <c r="B37" s="21">
        <v>3</v>
      </c>
      <c r="C37" s="21">
        <v>300</v>
      </c>
      <c r="D37" s="21">
        <f t="shared" si="1"/>
        <v>900</v>
      </c>
      <c r="E37" s="20">
        <v>2</v>
      </c>
      <c r="F37" s="14"/>
    </row>
    <row r="38" spans="1:6">
      <c r="A38" s="12" t="s">
        <v>148</v>
      </c>
      <c r="B38" s="21">
        <v>2</v>
      </c>
      <c r="C38" s="21">
        <v>220</v>
      </c>
      <c r="D38" s="21">
        <f t="shared" si="1"/>
        <v>440</v>
      </c>
      <c r="E38" s="20">
        <v>2</v>
      </c>
      <c r="F38" s="14"/>
    </row>
    <row r="39" spans="1:6">
      <c r="A39" s="12" t="s">
        <v>149</v>
      </c>
      <c r="B39" s="21">
        <v>2</v>
      </c>
      <c r="C39" s="21">
        <v>650</v>
      </c>
      <c r="D39" s="21">
        <f t="shared" si="1"/>
        <v>1300</v>
      </c>
      <c r="E39" s="20">
        <v>2</v>
      </c>
      <c r="F39" s="14" t="s">
        <v>150</v>
      </c>
    </row>
    <row r="40" spans="1:6">
      <c r="A40" s="12" t="s">
        <v>39</v>
      </c>
      <c r="B40" s="21">
        <v>1</v>
      </c>
      <c r="C40" s="21">
        <v>450</v>
      </c>
      <c r="D40" s="21">
        <f t="shared" si="1"/>
        <v>450</v>
      </c>
      <c r="E40" s="20">
        <v>2</v>
      </c>
      <c r="F40" s="14"/>
    </row>
    <row r="41" spans="1:6">
      <c r="A41" s="12"/>
      <c r="B41" s="21"/>
      <c r="C41" s="22" t="s">
        <v>21</v>
      </c>
      <c r="D41" s="22">
        <f>SUM(D34:D40)</f>
        <v>6240</v>
      </c>
      <c r="E41" s="20"/>
      <c r="F41" s="14"/>
    </row>
    <row r="42" spans="1:6">
      <c r="A42" s="12"/>
      <c r="B42" s="21"/>
      <c r="C42" s="21"/>
      <c r="D42" s="21"/>
      <c r="E42" s="20"/>
      <c r="F42" s="14"/>
    </row>
    <row r="43" spans="1:6">
      <c r="A43" s="12"/>
      <c r="B43" s="23"/>
      <c r="C43" s="15" t="s">
        <v>21</v>
      </c>
      <c r="D43" s="15">
        <f>C3</f>
        <v>30990</v>
      </c>
      <c r="E43" s="13"/>
      <c r="F43" s="14"/>
    </row>
    <row r="44" spans="1:6" ht="28">
      <c r="A44" s="12"/>
      <c r="B44" s="23"/>
      <c r="C44" s="15" t="s">
        <v>45</v>
      </c>
      <c r="D44" s="15">
        <f>C4</f>
        <v>1.47</v>
      </c>
      <c r="E44" s="13"/>
      <c r="F44" s="14"/>
    </row>
    <row r="45" spans="1:6" ht="28">
      <c r="A45" s="16"/>
      <c r="B45" s="24"/>
      <c r="C45" s="18" t="s">
        <v>46</v>
      </c>
      <c r="D45" s="18">
        <f>C5</f>
        <v>45555.299999999996</v>
      </c>
      <c r="E45" s="17"/>
      <c r="F45" s="19"/>
    </row>
  </sheetData>
  <mergeCells count="5">
    <mergeCell ref="A1:F1"/>
    <mergeCell ref="A9:F9"/>
    <mergeCell ref="A16:F16"/>
    <mergeCell ref="A24:F24"/>
    <mergeCell ref="A33:F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5"/>
  <sheetViews>
    <sheetView workbookViewId="0">
      <selection sqref="A1:F1"/>
    </sheetView>
  </sheetViews>
  <sheetFormatPr defaultRowHeight="14"/>
  <cols>
    <col min="1" max="1" width="31" customWidth="1"/>
    <col min="2" max="2" width="11" customWidth="1"/>
    <col min="3" max="4" width="13" customWidth="1"/>
    <col min="5" max="5" width="8" customWidth="1"/>
    <col min="6" max="6" width="42" customWidth="1"/>
  </cols>
  <sheetData>
    <row r="1" spans="1:6" ht="18">
      <c r="A1" s="34" t="s">
        <v>151</v>
      </c>
      <c r="B1" s="34"/>
      <c r="C1" s="34"/>
      <c r="D1" s="34"/>
      <c r="E1" s="34"/>
      <c r="F1" s="34"/>
    </row>
    <row r="2" spans="1:6">
      <c r="A2" s="25"/>
      <c r="B2" s="25"/>
      <c r="C2" s="25"/>
      <c r="D2" s="25"/>
      <c r="E2" s="25"/>
      <c r="F2" s="25"/>
    </row>
    <row r="3" spans="1:6" ht="42">
      <c r="A3" s="25"/>
      <c r="B3" s="26" t="s">
        <v>1</v>
      </c>
      <c r="C3" s="27">
        <f>SUM(D14,D22,D31)</f>
        <v>10240</v>
      </c>
      <c r="D3" s="26" t="s">
        <v>2</v>
      </c>
      <c r="E3" s="27">
        <f>C5</f>
        <v>16588.800000000003</v>
      </c>
      <c r="F3" s="25"/>
    </row>
    <row r="4" spans="1:6" ht="42">
      <c r="A4" s="25"/>
      <c r="B4" s="26" t="s">
        <v>3</v>
      </c>
      <c r="C4" s="28">
        <v>1.62</v>
      </c>
      <c r="D4" s="25"/>
      <c r="E4" s="25"/>
      <c r="F4" s="25"/>
    </row>
    <row r="5" spans="1:6" ht="42">
      <c r="A5" s="25"/>
      <c r="B5" s="26" t="s">
        <v>4</v>
      </c>
      <c r="C5" s="27">
        <f>C3*C4</f>
        <v>16588.800000000003</v>
      </c>
      <c r="D5" s="25"/>
      <c r="E5" s="25"/>
      <c r="F5" s="25"/>
    </row>
    <row r="6" spans="1:6">
      <c r="A6" s="25"/>
      <c r="B6" s="25"/>
      <c r="C6" s="25"/>
      <c r="D6" s="25"/>
      <c r="E6" s="25"/>
      <c r="F6" s="25"/>
    </row>
    <row r="7" spans="1:6">
      <c r="A7" s="25"/>
      <c r="B7" s="25"/>
      <c r="C7" s="25"/>
      <c r="D7" s="25"/>
      <c r="E7" s="25"/>
      <c r="F7" s="25"/>
    </row>
    <row r="8" spans="1:6">
      <c r="A8" s="29" t="s">
        <v>5</v>
      </c>
      <c r="B8" s="30" t="s">
        <v>6</v>
      </c>
      <c r="C8" s="30" t="s">
        <v>7</v>
      </c>
      <c r="D8" s="30" t="s">
        <v>8</v>
      </c>
      <c r="E8" s="30" t="s">
        <v>9</v>
      </c>
      <c r="F8" s="31" t="s">
        <v>10</v>
      </c>
    </row>
    <row r="9" spans="1:6">
      <c r="A9" s="35" t="s">
        <v>11</v>
      </c>
      <c r="B9" s="36"/>
      <c r="C9" s="36"/>
      <c r="D9" s="36"/>
      <c r="E9" s="37"/>
      <c r="F9" s="38"/>
    </row>
    <row r="10" spans="1:6">
      <c r="A10" s="12" t="s">
        <v>121</v>
      </c>
      <c r="B10" s="21">
        <v>1</v>
      </c>
      <c r="C10" s="21">
        <v>160</v>
      </c>
      <c r="D10" s="21">
        <f>B10*C10</f>
        <v>160</v>
      </c>
      <c r="E10" s="20">
        <v>2</v>
      </c>
      <c r="F10" s="14"/>
    </row>
    <row r="11" spans="1:6">
      <c r="A11" s="12" t="s">
        <v>90</v>
      </c>
      <c r="B11" s="21">
        <v>1</v>
      </c>
      <c r="C11" s="21">
        <v>500</v>
      </c>
      <c r="D11" s="21">
        <f>B11*C11</f>
        <v>500</v>
      </c>
      <c r="E11" s="20">
        <v>2</v>
      </c>
      <c r="F11" s="14"/>
    </row>
    <row r="12" spans="1:6">
      <c r="A12" s="12" t="s">
        <v>14</v>
      </c>
      <c r="B12" s="21">
        <v>2</v>
      </c>
      <c r="C12" s="21">
        <v>120</v>
      </c>
      <c r="D12" s="21">
        <f>B12*C12</f>
        <v>240</v>
      </c>
      <c r="E12" s="20">
        <v>2</v>
      </c>
      <c r="F12" s="14"/>
    </row>
    <row r="13" spans="1:6">
      <c r="A13" s="12" t="s">
        <v>16</v>
      </c>
      <c r="B13" s="21">
        <v>4</v>
      </c>
      <c r="C13" s="21">
        <v>65</v>
      </c>
      <c r="D13" s="21">
        <f>B13*C13</f>
        <v>260</v>
      </c>
      <c r="E13" s="20">
        <v>2</v>
      </c>
      <c r="F13" s="14"/>
    </row>
    <row r="14" spans="1:6">
      <c r="A14" s="12"/>
      <c r="B14" s="21"/>
      <c r="C14" s="22" t="s">
        <v>21</v>
      </c>
      <c r="D14" s="22">
        <f>SUM(D10:D13)</f>
        <v>1160</v>
      </c>
      <c r="E14" s="20"/>
      <c r="F14" s="14"/>
    </row>
    <row r="15" spans="1:6">
      <c r="A15" s="12"/>
      <c r="B15" s="21"/>
      <c r="C15" s="21"/>
      <c r="D15" s="21"/>
      <c r="E15" s="20"/>
      <c r="F15" s="14"/>
    </row>
    <row r="16" spans="1:6">
      <c r="A16" s="35" t="s">
        <v>152</v>
      </c>
      <c r="B16" s="39"/>
      <c r="C16" s="39"/>
      <c r="D16" s="39"/>
      <c r="E16" s="40"/>
      <c r="F16" s="38"/>
    </row>
    <row r="17" spans="1:6">
      <c r="A17" s="12" t="s">
        <v>153</v>
      </c>
      <c r="B17" s="21">
        <v>8</v>
      </c>
      <c r="C17" s="21">
        <v>300</v>
      </c>
      <c r="D17" s="21">
        <f>B17*C17</f>
        <v>2400</v>
      </c>
      <c r="E17" s="20">
        <v>2</v>
      </c>
      <c r="F17" s="14"/>
    </row>
    <row r="18" spans="1:6">
      <c r="A18" s="12" t="s">
        <v>154</v>
      </c>
      <c r="B18" s="21">
        <v>2</v>
      </c>
      <c r="C18" s="21">
        <v>320</v>
      </c>
      <c r="D18" s="21">
        <f>B18*C18</f>
        <v>640</v>
      </c>
      <c r="E18" s="20">
        <v>2</v>
      </c>
      <c r="F18" s="14" t="s">
        <v>155</v>
      </c>
    </row>
    <row r="19" spans="1:6">
      <c r="A19" s="12" t="s">
        <v>156</v>
      </c>
      <c r="B19" s="21">
        <v>1</v>
      </c>
      <c r="C19" s="21">
        <v>550</v>
      </c>
      <c r="D19" s="21">
        <f>B19*C19</f>
        <v>550</v>
      </c>
      <c r="E19" s="20">
        <v>2</v>
      </c>
      <c r="F19" s="14" t="s">
        <v>157</v>
      </c>
    </row>
    <row r="20" spans="1:6">
      <c r="A20" s="12" t="s">
        <v>158</v>
      </c>
      <c r="B20" s="21">
        <v>1</v>
      </c>
      <c r="C20" s="21">
        <v>250</v>
      </c>
      <c r="D20" s="21">
        <f>B20*C20</f>
        <v>250</v>
      </c>
      <c r="E20" s="20">
        <v>2</v>
      </c>
      <c r="F20" s="14"/>
    </row>
    <row r="21" spans="1:6">
      <c r="A21" s="12" t="s">
        <v>36</v>
      </c>
      <c r="B21" s="21">
        <v>2</v>
      </c>
      <c r="C21" s="21">
        <v>180</v>
      </c>
      <c r="D21" s="21">
        <f>B21*C21</f>
        <v>360</v>
      </c>
      <c r="E21" s="20">
        <v>2</v>
      </c>
      <c r="F21" s="14"/>
    </row>
    <row r="22" spans="1:6">
      <c r="A22" s="12"/>
      <c r="B22" s="21"/>
      <c r="C22" s="22" t="s">
        <v>21</v>
      </c>
      <c r="D22" s="22">
        <f>SUM(D17:D21)</f>
        <v>4200</v>
      </c>
      <c r="E22" s="20"/>
      <c r="F22" s="14"/>
    </row>
    <row r="23" spans="1:6">
      <c r="A23" s="12"/>
      <c r="B23" s="21"/>
      <c r="C23" s="21"/>
      <c r="D23" s="21"/>
      <c r="E23" s="20"/>
      <c r="F23" s="14"/>
    </row>
    <row r="24" spans="1:6">
      <c r="A24" s="35" t="s">
        <v>159</v>
      </c>
      <c r="B24" s="39"/>
      <c r="C24" s="39"/>
      <c r="D24" s="39"/>
      <c r="E24" s="40"/>
      <c r="F24" s="38"/>
    </row>
    <row r="25" spans="1:6">
      <c r="A25" s="12" t="s">
        <v>160</v>
      </c>
      <c r="B25" s="21">
        <v>18</v>
      </c>
      <c r="C25" s="21">
        <v>100</v>
      </c>
      <c r="D25" s="21">
        <f t="shared" ref="D25:D30" si="0">B25*C25</f>
        <v>1800</v>
      </c>
      <c r="E25" s="20">
        <v>2</v>
      </c>
      <c r="F25" s="14"/>
    </row>
    <row r="26" spans="1:6">
      <c r="A26" s="12" t="s">
        <v>161</v>
      </c>
      <c r="B26" s="21">
        <v>18</v>
      </c>
      <c r="C26" s="21">
        <v>110</v>
      </c>
      <c r="D26" s="21">
        <f t="shared" si="0"/>
        <v>1980</v>
      </c>
      <c r="E26" s="20">
        <v>2</v>
      </c>
      <c r="F26" s="14"/>
    </row>
    <row r="27" spans="1:6">
      <c r="A27" s="12" t="s">
        <v>94</v>
      </c>
      <c r="B27" s="21">
        <v>6</v>
      </c>
      <c r="C27" s="21">
        <v>60</v>
      </c>
      <c r="D27" s="21">
        <f t="shared" si="0"/>
        <v>360</v>
      </c>
      <c r="E27" s="20">
        <v>2</v>
      </c>
      <c r="F27" s="14"/>
    </row>
    <row r="28" spans="1:6">
      <c r="A28" s="12" t="s">
        <v>33</v>
      </c>
      <c r="B28" s="21">
        <v>2</v>
      </c>
      <c r="C28" s="21">
        <v>120</v>
      </c>
      <c r="D28" s="21">
        <f t="shared" si="0"/>
        <v>240</v>
      </c>
      <c r="E28" s="20">
        <v>2</v>
      </c>
      <c r="F28" s="14"/>
    </row>
    <row r="29" spans="1:6">
      <c r="A29" s="12" t="s">
        <v>34</v>
      </c>
      <c r="B29" s="21">
        <v>2</v>
      </c>
      <c r="C29" s="21">
        <v>120</v>
      </c>
      <c r="D29" s="21">
        <f t="shared" si="0"/>
        <v>240</v>
      </c>
      <c r="E29" s="20">
        <v>2</v>
      </c>
      <c r="F29" s="14"/>
    </row>
    <row r="30" spans="1:6">
      <c r="A30" s="12" t="s">
        <v>85</v>
      </c>
      <c r="B30" s="21">
        <v>1</v>
      </c>
      <c r="C30" s="21">
        <v>260</v>
      </c>
      <c r="D30" s="21">
        <f t="shared" si="0"/>
        <v>260</v>
      </c>
      <c r="E30" s="20">
        <v>2</v>
      </c>
      <c r="F30" s="14"/>
    </row>
    <row r="31" spans="1:6">
      <c r="A31" s="12"/>
      <c r="B31" s="21"/>
      <c r="C31" s="22" t="s">
        <v>21</v>
      </c>
      <c r="D31" s="22">
        <f>SUM(D25:D30)</f>
        <v>4880</v>
      </c>
      <c r="E31" s="20"/>
      <c r="F31" s="14"/>
    </row>
    <row r="32" spans="1:6">
      <c r="A32" s="12"/>
      <c r="B32" s="21"/>
      <c r="C32" s="21"/>
      <c r="D32" s="21"/>
      <c r="E32" s="20"/>
      <c r="F32" s="14"/>
    </row>
    <row r="33" spans="1:6">
      <c r="A33" s="12"/>
      <c r="B33" s="23"/>
      <c r="C33" s="15" t="s">
        <v>21</v>
      </c>
      <c r="D33" s="15">
        <f>C3</f>
        <v>10240</v>
      </c>
      <c r="E33" s="13"/>
      <c r="F33" s="14"/>
    </row>
    <row r="34" spans="1:6" ht="28">
      <c r="A34" s="12"/>
      <c r="B34" s="23"/>
      <c r="C34" s="15" t="s">
        <v>45</v>
      </c>
      <c r="D34" s="15">
        <f>C4</f>
        <v>1.62</v>
      </c>
      <c r="E34" s="13"/>
      <c r="F34" s="14"/>
    </row>
    <row r="35" spans="1:6" ht="28">
      <c r="A35" s="16"/>
      <c r="B35" s="24"/>
      <c r="C35" s="18" t="s">
        <v>46</v>
      </c>
      <c r="D35" s="18">
        <f>C5</f>
        <v>16588.800000000003</v>
      </c>
      <c r="E35" s="17"/>
      <c r="F35" s="19"/>
    </row>
  </sheetData>
  <mergeCells count="4">
    <mergeCell ref="A1:F1"/>
    <mergeCell ref="A9:F9"/>
    <mergeCell ref="A16:F16"/>
    <mergeCell ref="A24:F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6"/>
  <sheetViews>
    <sheetView workbookViewId="0">
      <selection sqref="A1:F1"/>
    </sheetView>
  </sheetViews>
  <sheetFormatPr defaultRowHeight="14"/>
  <cols>
    <col min="1" max="1" width="31" customWidth="1"/>
    <col min="2" max="2" width="11" customWidth="1"/>
    <col min="3" max="4" width="13" customWidth="1"/>
    <col min="5" max="5" width="8" customWidth="1"/>
    <col min="6" max="6" width="42" customWidth="1"/>
  </cols>
  <sheetData>
    <row r="1" spans="1:6" ht="18">
      <c r="A1" s="34" t="s">
        <v>162</v>
      </c>
      <c r="B1" s="34"/>
      <c r="C1" s="34"/>
      <c r="D1" s="34"/>
      <c r="E1" s="34"/>
      <c r="F1" s="34"/>
    </row>
    <row r="2" spans="1:6">
      <c r="A2" s="25"/>
      <c r="B2" s="25"/>
      <c r="C2" s="25"/>
      <c r="D2" s="25"/>
      <c r="E2" s="25"/>
      <c r="F2" s="25"/>
    </row>
    <row r="3" spans="1:6" ht="42">
      <c r="A3" s="25"/>
      <c r="B3" s="26" t="s">
        <v>1</v>
      </c>
      <c r="C3" s="27">
        <f>SUM(D14,D23,D32)</f>
        <v>14120</v>
      </c>
      <c r="D3" s="26" t="s">
        <v>2</v>
      </c>
      <c r="E3" s="27">
        <f>C5</f>
        <v>22592</v>
      </c>
      <c r="F3" s="25"/>
    </row>
    <row r="4" spans="1:6" ht="42">
      <c r="A4" s="25"/>
      <c r="B4" s="26" t="s">
        <v>3</v>
      </c>
      <c r="C4" s="28">
        <v>1.6</v>
      </c>
      <c r="D4" s="25"/>
      <c r="E4" s="25"/>
      <c r="F4" s="25"/>
    </row>
    <row r="5" spans="1:6" ht="42">
      <c r="A5" s="25"/>
      <c r="B5" s="26" t="s">
        <v>4</v>
      </c>
      <c r="C5" s="27">
        <f>C3*C4</f>
        <v>22592</v>
      </c>
      <c r="D5" s="25"/>
      <c r="E5" s="25"/>
      <c r="F5" s="25"/>
    </row>
    <row r="6" spans="1:6">
      <c r="A6" s="25"/>
      <c r="B6" s="25"/>
      <c r="C6" s="25"/>
      <c r="D6" s="25"/>
      <c r="E6" s="25"/>
      <c r="F6" s="25"/>
    </row>
    <row r="7" spans="1:6">
      <c r="A7" s="25"/>
      <c r="B7" s="25"/>
      <c r="C7" s="25"/>
      <c r="D7" s="25"/>
      <c r="E7" s="25"/>
      <c r="F7" s="25"/>
    </row>
    <row r="8" spans="1:6">
      <c r="A8" s="29" t="s">
        <v>5</v>
      </c>
      <c r="B8" s="30" t="s">
        <v>6</v>
      </c>
      <c r="C8" s="30" t="s">
        <v>7</v>
      </c>
      <c r="D8" s="30" t="s">
        <v>8</v>
      </c>
      <c r="E8" s="30" t="s">
        <v>9</v>
      </c>
      <c r="F8" s="31" t="s">
        <v>10</v>
      </c>
    </row>
    <row r="9" spans="1:6">
      <c r="A9" s="35" t="s">
        <v>11</v>
      </c>
      <c r="B9" s="36"/>
      <c r="C9" s="36"/>
      <c r="D9" s="36"/>
      <c r="E9" s="37"/>
      <c r="F9" s="38"/>
    </row>
    <row r="10" spans="1:6">
      <c r="A10" s="12" t="s">
        <v>163</v>
      </c>
      <c r="B10" s="21">
        <v>1</v>
      </c>
      <c r="C10" s="21">
        <v>620</v>
      </c>
      <c r="D10" s="21">
        <f>B10*C10</f>
        <v>620</v>
      </c>
      <c r="E10" s="20">
        <v>3</v>
      </c>
      <c r="F10" s="14"/>
    </row>
    <row r="11" spans="1:6">
      <c r="A11" s="12" t="s">
        <v>17</v>
      </c>
      <c r="B11" s="21">
        <v>1</v>
      </c>
      <c r="C11" s="21">
        <v>160</v>
      </c>
      <c r="D11" s="21">
        <f>B11*C11</f>
        <v>160</v>
      </c>
      <c r="E11" s="20">
        <v>3</v>
      </c>
      <c r="F11" s="14"/>
    </row>
    <row r="12" spans="1:6">
      <c r="A12" s="12" t="s">
        <v>14</v>
      </c>
      <c r="B12" s="21">
        <v>2</v>
      </c>
      <c r="C12" s="21">
        <v>120</v>
      </c>
      <c r="D12" s="21">
        <f>B12*C12</f>
        <v>240</v>
      </c>
      <c r="E12" s="20">
        <v>3</v>
      </c>
      <c r="F12" s="14"/>
    </row>
    <row r="13" spans="1:6">
      <c r="A13" s="12" t="s">
        <v>16</v>
      </c>
      <c r="B13" s="21">
        <v>4</v>
      </c>
      <c r="C13" s="21">
        <v>65</v>
      </c>
      <c r="D13" s="21">
        <f>B13*C13</f>
        <v>260</v>
      </c>
      <c r="E13" s="20">
        <v>3</v>
      </c>
      <c r="F13" s="14"/>
    </row>
    <row r="14" spans="1:6">
      <c r="A14" s="12"/>
      <c r="B14" s="21"/>
      <c r="C14" s="22" t="s">
        <v>21</v>
      </c>
      <c r="D14" s="22">
        <f>SUM(D10:D13)</f>
        <v>1280</v>
      </c>
      <c r="E14" s="20"/>
      <c r="F14" s="14"/>
    </row>
    <row r="15" spans="1:6">
      <c r="A15" s="12"/>
      <c r="B15" s="21"/>
      <c r="C15" s="21"/>
      <c r="D15" s="21"/>
      <c r="E15" s="20"/>
      <c r="F15" s="14"/>
    </row>
    <row r="16" spans="1:6">
      <c r="A16" s="35" t="s">
        <v>164</v>
      </c>
      <c r="B16" s="39"/>
      <c r="C16" s="39"/>
      <c r="D16" s="39"/>
      <c r="E16" s="40"/>
      <c r="F16" s="38"/>
    </row>
    <row r="17" spans="1:6">
      <c r="A17" s="12" t="s">
        <v>165</v>
      </c>
      <c r="B17" s="21">
        <v>18</v>
      </c>
      <c r="C17" s="21">
        <v>330</v>
      </c>
      <c r="D17" s="21">
        <f t="shared" ref="D17:D22" si="0">B17*C17</f>
        <v>5940</v>
      </c>
      <c r="E17" s="20">
        <v>3</v>
      </c>
      <c r="F17" s="14" t="s">
        <v>166</v>
      </c>
    </row>
    <row r="18" spans="1:6">
      <c r="A18" s="12" t="s">
        <v>167</v>
      </c>
      <c r="B18" s="21">
        <v>8</v>
      </c>
      <c r="C18" s="21">
        <v>260</v>
      </c>
      <c r="D18" s="21">
        <f t="shared" si="0"/>
        <v>2080</v>
      </c>
      <c r="E18" s="20">
        <v>3</v>
      </c>
      <c r="F18" s="14"/>
    </row>
    <row r="19" spans="1:6">
      <c r="A19" s="12" t="s">
        <v>168</v>
      </c>
      <c r="B19" s="21">
        <v>6</v>
      </c>
      <c r="C19" s="21">
        <v>180</v>
      </c>
      <c r="D19" s="21">
        <f t="shared" si="0"/>
        <v>1080</v>
      </c>
      <c r="E19" s="20">
        <v>3</v>
      </c>
      <c r="F19" s="14"/>
    </row>
    <row r="20" spans="1:6">
      <c r="A20" s="12" t="s">
        <v>137</v>
      </c>
      <c r="B20" s="21">
        <v>2</v>
      </c>
      <c r="C20" s="21">
        <v>600</v>
      </c>
      <c r="D20" s="21">
        <f t="shared" si="0"/>
        <v>1200</v>
      </c>
      <c r="E20" s="20">
        <v>3</v>
      </c>
      <c r="F20" s="14" t="s">
        <v>169</v>
      </c>
    </row>
    <row r="21" spans="1:6">
      <c r="A21" s="12" t="s">
        <v>170</v>
      </c>
      <c r="B21" s="21">
        <v>2</v>
      </c>
      <c r="C21" s="21">
        <v>180</v>
      </c>
      <c r="D21" s="21">
        <f t="shared" si="0"/>
        <v>360</v>
      </c>
      <c r="E21" s="20">
        <v>3</v>
      </c>
      <c r="F21" s="14"/>
    </row>
    <row r="22" spans="1:6">
      <c r="A22" s="12" t="s">
        <v>36</v>
      </c>
      <c r="B22" s="21">
        <v>2</v>
      </c>
      <c r="C22" s="21">
        <v>260</v>
      </c>
      <c r="D22" s="21">
        <f t="shared" si="0"/>
        <v>520</v>
      </c>
      <c r="E22" s="20">
        <v>3</v>
      </c>
      <c r="F22" s="14"/>
    </row>
    <row r="23" spans="1:6">
      <c r="A23" s="12"/>
      <c r="B23" s="21"/>
      <c r="C23" s="22" t="s">
        <v>21</v>
      </c>
      <c r="D23" s="22">
        <f>SUM(D17:D22)</f>
        <v>11180</v>
      </c>
      <c r="E23" s="20"/>
      <c r="F23" s="14"/>
    </row>
    <row r="24" spans="1:6">
      <c r="A24" s="12"/>
      <c r="B24" s="21"/>
      <c r="C24" s="21"/>
      <c r="D24" s="21"/>
      <c r="E24" s="20"/>
      <c r="F24" s="14"/>
    </row>
    <row r="25" spans="1:6">
      <c r="A25" s="35" t="s">
        <v>171</v>
      </c>
      <c r="B25" s="39"/>
      <c r="C25" s="39"/>
      <c r="D25" s="39"/>
      <c r="E25" s="40"/>
      <c r="F25" s="38"/>
    </row>
    <row r="26" spans="1:6">
      <c r="A26" s="12" t="s">
        <v>33</v>
      </c>
      <c r="B26" s="21">
        <v>2</v>
      </c>
      <c r="C26" s="21">
        <v>180</v>
      </c>
      <c r="D26" s="21">
        <f t="shared" ref="D26:D31" si="1">B26*C26</f>
        <v>360</v>
      </c>
      <c r="E26" s="20">
        <v>3</v>
      </c>
      <c r="F26" s="14"/>
    </row>
    <row r="27" spans="1:6">
      <c r="A27" s="12" t="s">
        <v>34</v>
      </c>
      <c r="B27" s="21">
        <v>2</v>
      </c>
      <c r="C27" s="21">
        <v>160</v>
      </c>
      <c r="D27" s="21">
        <f t="shared" si="1"/>
        <v>320</v>
      </c>
      <c r="E27" s="20">
        <v>3</v>
      </c>
      <c r="F27" s="14"/>
    </row>
    <row r="28" spans="1:6">
      <c r="A28" s="12" t="s">
        <v>43</v>
      </c>
      <c r="B28" s="21">
        <v>2</v>
      </c>
      <c r="C28" s="21">
        <v>140</v>
      </c>
      <c r="D28" s="21">
        <f t="shared" si="1"/>
        <v>280</v>
      </c>
      <c r="E28" s="20">
        <v>3</v>
      </c>
      <c r="F28" s="14"/>
    </row>
    <row r="29" spans="1:6">
      <c r="A29" s="12" t="s">
        <v>172</v>
      </c>
      <c r="B29" s="21">
        <v>1</v>
      </c>
      <c r="C29" s="21">
        <v>120</v>
      </c>
      <c r="D29" s="21">
        <f t="shared" si="1"/>
        <v>120</v>
      </c>
      <c r="E29" s="20">
        <v>3</v>
      </c>
      <c r="F29" s="14"/>
    </row>
    <row r="30" spans="1:6">
      <c r="A30" s="12" t="s">
        <v>85</v>
      </c>
      <c r="B30" s="21">
        <v>1</v>
      </c>
      <c r="C30" s="21">
        <v>280</v>
      </c>
      <c r="D30" s="21">
        <f t="shared" si="1"/>
        <v>280</v>
      </c>
      <c r="E30" s="20">
        <v>3</v>
      </c>
      <c r="F30" s="14"/>
    </row>
    <row r="31" spans="1:6">
      <c r="A31" s="12" t="s">
        <v>39</v>
      </c>
      <c r="B31" s="21">
        <v>1</v>
      </c>
      <c r="C31" s="21">
        <v>300</v>
      </c>
      <c r="D31" s="21">
        <f t="shared" si="1"/>
        <v>300</v>
      </c>
      <c r="E31" s="20">
        <v>3</v>
      </c>
      <c r="F31" s="14"/>
    </row>
    <row r="32" spans="1:6">
      <c r="A32" s="12"/>
      <c r="B32" s="21"/>
      <c r="C32" s="22" t="s">
        <v>21</v>
      </c>
      <c r="D32" s="22">
        <f>SUM(D26:D31)</f>
        <v>1660</v>
      </c>
      <c r="E32" s="20"/>
      <c r="F32" s="14"/>
    </row>
    <row r="33" spans="1:6">
      <c r="A33" s="12"/>
      <c r="B33" s="21"/>
      <c r="C33" s="21"/>
      <c r="D33" s="21"/>
      <c r="E33" s="20"/>
      <c r="F33" s="14"/>
    </row>
    <row r="34" spans="1:6">
      <c r="A34" s="12"/>
      <c r="B34" s="23"/>
      <c r="C34" s="15" t="s">
        <v>21</v>
      </c>
      <c r="D34" s="15">
        <f>C3</f>
        <v>14120</v>
      </c>
      <c r="E34" s="13"/>
      <c r="F34" s="14"/>
    </row>
    <row r="35" spans="1:6" ht="28">
      <c r="A35" s="12"/>
      <c r="B35" s="23"/>
      <c r="C35" s="15" t="s">
        <v>45</v>
      </c>
      <c r="D35" s="15">
        <f>C4</f>
        <v>1.6</v>
      </c>
      <c r="E35" s="13"/>
      <c r="F35" s="14"/>
    </row>
    <row r="36" spans="1:6" ht="28">
      <c r="A36" s="16"/>
      <c r="B36" s="24"/>
      <c r="C36" s="18" t="s">
        <v>46</v>
      </c>
      <c r="D36" s="18">
        <f>C5</f>
        <v>22592</v>
      </c>
      <c r="E36" s="17"/>
      <c r="F36" s="19"/>
    </row>
  </sheetData>
  <mergeCells count="4">
    <mergeCell ref="A1:F1"/>
    <mergeCell ref="A9:F9"/>
    <mergeCell ref="A16:F16"/>
    <mergeCell ref="A25:F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4"/>
  <sheetViews>
    <sheetView workbookViewId="0">
      <selection sqref="A1:F1"/>
    </sheetView>
  </sheetViews>
  <sheetFormatPr defaultRowHeight="14"/>
  <cols>
    <col min="1" max="1" width="31" customWidth="1"/>
    <col min="2" max="2" width="11" customWidth="1"/>
    <col min="3" max="4" width="13" customWidth="1"/>
    <col min="5" max="5" width="8" customWidth="1"/>
    <col min="6" max="6" width="42" customWidth="1"/>
  </cols>
  <sheetData>
    <row r="1" spans="1:6" ht="18">
      <c r="A1" s="34" t="s">
        <v>173</v>
      </c>
      <c r="B1" s="34"/>
      <c r="C1" s="34"/>
      <c r="D1" s="34"/>
      <c r="E1" s="34"/>
      <c r="F1" s="34"/>
    </row>
    <row r="2" spans="1:6">
      <c r="A2" s="25"/>
      <c r="B2" s="25"/>
      <c r="C2" s="25"/>
      <c r="D2" s="25"/>
      <c r="E2" s="25"/>
      <c r="F2" s="25"/>
    </row>
    <row r="3" spans="1:6" ht="42">
      <c r="A3" s="25"/>
      <c r="B3" s="26" t="s">
        <v>1</v>
      </c>
      <c r="C3" s="27">
        <f>SUM(D14,D22,D30)</f>
        <v>15030</v>
      </c>
      <c r="D3" s="26" t="s">
        <v>2</v>
      </c>
      <c r="E3" s="27">
        <f>C5</f>
        <v>25100.1</v>
      </c>
      <c r="F3" s="25"/>
    </row>
    <row r="4" spans="1:6" ht="42">
      <c r="A4" s="25"/>
      <c r="B4" s="26" t="s">
        <v>3</v>
      </c>
      <c r="C4" s="28">
        <v>1.67</v>
      </c>
      <c r="D4" s="25"/>
      <c r="E4" s="25"/>
      <c r="F4" s="25"/>
    </row>
    <row r="5" spans="1:6" ht="42">
      <c r="A5" s="25"/>
      <c r="B5" s="26" t="s">
        <v>4</v>
      </c>
      <c r="C5" s="27">
        <f>C3*C4</f>
        <v>25100.1</v>
      </c>
      <c r="D5" s="25"/>
      <c r="E5" s="25"/>
      <c r="F5" s="25"/>
    </row>
    <row r="6" spans="1:6">
      <c r="A6" s="25"/>
      <c r="B6" s="25"/>
      <c r="C6" s="25"/>
      <c r="D6" s="25"/>
      <c r="E6" s="25"/>
      <c r="F6" s="25"/>
    </row>
    <row r="7" spans="1:6">
      <c r="A7" s="25"/>
      <c r="B7" s="25"/>
      <c r="C7" s="25"/>
      <c r="D7" s="25"/>
      <c r="E7" s="25"/>
      <c r="F7" s="25"/>
    </row>
    <row r="8" spans="1:6">
      <c r="A8" s="29" t="s">
        <v>5</v>
      </c>
      <c r="B8" s="30" t="s">
        <v>6</v>
      </c>
      <c r="C8" s="30" t="s">
        <v>7</v>
      </c>
      <c r="D8" s="30" t="s">
        <v>8</v>
      </c>
      <c r="E8" s="30" t="s">
        <v>9</v>
      </c>
      <c r="F8" s="31" t="s">
        <v>10</v>
      </c>
    </row>
    <row r="9" spans="1:6">
      <c r="A9" s="35" t="s">
        <v>174</v>
      </c>
      <c r="B9" s="36"/>
      <c r="C9" s="36"/>
      <c r="D9" s="36"/>
      <c r="E9" s="37"/>
      <c r="F9" s="38"/>
    </row>
    <row r="10" spans="1:6">
      <c r="A10" s="12" t="s">
        <v>175</v>
      </c>
      <c r="B10" s="21">
        <v>1</v>
      </c>
      <c r="C10" s="21">
        <v>400</v>
      </c>
      <c r="D10" s="21">
        <f>B10*C10</f>
        <v>400</v>
      </c>
      <c r="E10" s="20">
        <v>3</v>
      </c>
      <c r="F10" s="14"/>
    </row>
    <row r="11" spans="1:6">
      <c r="A11" s="12" t="s">
        <v>59</v>
      </c>
      <c r="B11" s="21">
        <v>3</v>
      </c>
      <c r="C11" s="21">
        <v>120</v>
      </c>
      <c r="D11" s="21">
        <f>B11*C11</f>
        <v>360</v>
      </c>
      <c r="E11" s="20">
        <v>3</v>
      </c>
      <c r="F11" s="14"/>
    </row>
    <row r="12" spans="1:6">
      <c r="A12" s="12" t="s">
        <v>176</v>
      </c>
      <c r="B12" s="21">
        <v>4</v>
      </c>
      <c r="C12" s="21">
        <v>100</v>
      </c>
      <c r="D12" s="21">
        <f>B12*C12</f>
        <v>400</v>
      </c>
      <c r="E12" s="20">
        <v>3</v>
      </c>
      <c r="F12" s="14"/>
    </row>
    <row r="13" spans="1:6">
      <c r="A13" s="12" t="s">
        <v>177</v>
      </c>
      <c r="B13" s="21">
        <v>6</v>
      </c>
      <c r="C13" s="21">
        <v>120</v>
      </c>
      <c r="D13" s="21">
        <f>B13*C13</f>
        <v>720</v>
      </c>
      <c r="E13" s="20">
        <v>3</v>
      </c>
      <c r="F13" s="14"/>
    </row>
    <row r="14" spans="1:6">
      <c r="A14" s="12"/>
      <c r="B14" s="21"/>
      <c r="C14" s="22" t="s">
        <v>21</v>
      </c>
      <c r="D14" s="22">
        <f>SUM(D10:D13)</f>
        <v>1880</v>
      </c>
      <c r="E14" s="20"/>
      <c r="F14" s="14"/>
    </row>
    <row r="15" spans="1:6">
      <c r="A15" s="12"/>
      <c r="B15" s="21"/>
      <c r="C15" s="21"/>
      <c r="D15" s="21"/>
      <c r="E15" s="20"/>
      <c r="F15" s="14"/>
    </row>
    <row r="16" spans="1:6">
      <c r="A16" s="35" t="s">
        <v>178</v>
      </c>
      <c r="B16" s="39"/>
      <c r="C16" s="39"/>
      <c r="D16" s="39"/>
      <c r="E16" s="40"/>
      <c r="F16" s="38"/>
    </row>
    <row r="17" spans="1:6">
      <c r="A17" s="12" t="s">
        <v>179</v>
      </c>
      <c r="B17" s="21">
        <v>36</v>
      </c>
      <c r="C17" s="21">
        <v>250</v>
      </c>
      <c r="D17" s="21">
        <f>B17*C17</f>
        <v>9000</v>
      </c>
      <c r="E17" s="20">
        <v>3</v>
      </c>
      <c r="F17" s="14"/>
    </row>
    <row r="18" spans="1:6">
      <c r="A18" s="12" t="s">
        <v>180</v>
      </c>
      <c r="B18" s="21">
        <v>4</v>
      </c>
      <c r="C18" s="21">
        <v>270</v>
      </c>
      <c r="D18" s="21">
        <f>B18*C18</f>
        <v>1080</v>
      </c>
      <c r="E18" s="20">
        <v>3</v>
      </c>
      <c r="F18" s="14"/>
    </row>
    <row r="19" spans="1:6">
      <c r="A19" s="12" t="s">
        <v>81</v>
      </c>
      <c r="B19" s="21">
        <v>2</v>
      </c>
      <c r="C19" s="21">
        <v>220</v>
      </c>
      <c r="D19" s="21">
        <f>B19*C19</f>
        <v>440</v>
      </c>
      <c r="E19" s="20">
        <v>3</v>
      </c>
      <c r="F19" s="14"/>
    </row>
    <row r="20" spans="1:6">
      <c r="A20" s="12" t="s">
        <v>36</v>
      </c>
      <c r="B20" s="21">
        <v>3</v>
      </c>
      <c r="C20" s="21">
        <v>220</v>
      </c>
      <c r="D20" s="21">
        <f>B20*C20</f>
        <v>660</v>
      </c>
      <c r="E20" s="20">
        <v>3</v>
      </c>
      <c r="F20" s="14"/>
    </row>
    <row r="21" spans="1:6">
      <c r="A21" s="12" t="s">
        <v>43</v>
      </c>
      <c r="B21" s="21">
        <v>2</v>
      </c>
      <c r="C21" s="21">
        <v>120</v>
      </c>
      <c r="D21" s="21">
        <f>B21*C21</f>
        <v>240</v>
      </c>
      <c r="E21" s="20">
        <v>3</v>
      </c>
      <c r="F21" s="14"/>
    </row>
    <row r="22" spans="1:6">
      <c r="A22" s="12"/>
      <c r="B22" s="21"/>
      <c r="C22" s="22" t="s">
        <v>21</v>
      </c>
      <c r="D22" s="22">
        <f>SUM(D17:D21)</f>
        <v>11420</v>
      </c>
      <c r="E22" s="20"/>
      <c r="F22" s="14"/>
    </row>
    <row r="23" spans="1:6">
      <c r="A23" s="12"/>
      <c r="B23" s="21"/>
      <c r="C23" s="21"/>
      <c r="D23" s="21"/>
      <c r="E23" s="20"/>
      <c r="F23" s="14"/>
    </row>
    <row r="24" spans="1:6">
      <c r="A24" s="35" t="s">
        <v>181</v>
      </c>
      <c r="B24" s="39"/>
      <c r="C24" s="39"/>
      <c r="D24" s="39"/>
      <c r="E24" s="40"/>
      <c r="F24" s="38"/>
    </row>
    <row r="25" spans="1:6">
      <c r="A25" s="12" t="s">
        <v>33</v>
      </c>
      <c r="B25" s="21">
        <v>2</v>
      </c>
      <c r="C25" s="21">
        <v>180</v>
      </c>
      <c r="D25" s="21">
        <f>B25*C25</f>
        <v>360</v>
      </c>
      <c r="E25" s="20">
        <v>3</v>
      </c>
      <c r="F25" s="14"/>
    </row>
    <row r="26" spans="1:6">
      <c r="A26" s="12" t="s">
        <v>34</v>
      </c>
      <c r="B26" s="21">
        <v>2</v>
      </c>
      <c r="C26" s="21">
        <v>150</v>
      </c>
      <c r="D26" s="21">
        <f>B26*C26</f>
        <v>300</v>
      </c>
      <c r="E26" s="20">
        <v>3</v>
      </c>
      <c r="F26" s="14"/>
    </row>
    <row r="27" spans="1:6">
      <c r="A27" s="12" t="s">
        <v>85</v>
      </c>
      <c r="B27" s="21">
        <v>2</v>
      </c>
      <c r="C27" s="21">
        <v>280</v>
      </c>
      <c r="D27" s="21">
        <f>B27*C27</f>
        <v>560</v>
      </c>
      <c r="E27" s="20">
        <v>3</v>
      </c>
      <c r="F27" s="14"/>
    </row>
    <row r="28" spans="1:6">
      <c r="A28" s="12" t="s">
        <v>182</v>
      </c>
      <c r="B28" s="21">
        <v>1</v>
      </c>
      <c r="C28" s="21">
        <v>250</v>
      </c>
      <c r="D28" s="21">
        <f>B28*C28</f>
        <v>250</v>
      </c>
      <c r="E28" s="20">
        <v>3</v>
      </c>
      <c r="F28" s="14" t="s">
        <v>183</v>
      </c>
    </row>
    <row r="29" spans="1:6">
      <c r="A29" s="12" t="s">
        <v>88</v>
      </c>
      <c r="B29" s="21">
        <v>1</v>
      </c>
      <c r="C29" s="21">
        <v>260</v>
      </c>
      <c r="D29" s="21">
        <f>B29*C29</f>
        <v>260</v>
      </c>
      <c r="E29" s="20">
        <v>3</v>
      </c>
      <c r="F29" s="14"/>
    </row>
    <row r="30" spans="1:6">
      <c r="A30" s="12"/>
      <c r="B30" s="21"/>
      <c r="C30" s="22" t="s">
        <v>21</v>
      </c>
      <c r="D30" s="22">
        <f>SUM(D25:D29)</f>
        <v>1730</v>
      </c>
      <c r="E30" s="20"/>
      <c r="F30" s="14"/>
    </row>
    <row r="31" spans="1:6">
      <c r="A31" s="12"/>
      <c r="B31" s="21"/>
      <c r="C31" s="21"/>
      <c r="D31" s="21"/>
      <c r="E31" s="20"/>
      <c r="F31" s="14"/>
    </row>
    <row r="32" spans="1:6">
      <c r="A32" s="12"/>
      <c r="B32" s="23"/>
      <c r="C32" s="15" t="s">
        <v>21</v>
      </c>
      <c r="D32" s="15">
        <f>C3</f>
        <v>15030</v>
      </c>
      <c r="E32" s="13"/>
      <c r="F32" s="14"/>
    </row>
    <row r="33" spans="1:6" ht="28">
      <c r="A33" s="12"/>
      <c r="B33" s="23"/>
      <c r="C33" s="15" t="s">
        <v>45</v>
      </c>
      <c r="D33" s="15">
        <f>C4</f>
        <v>1.67</v>
      </c>
      <c r="E33" s="13"/>
      <c r="F33" s="14"/>
    </row>
    <row r="34" spans="1:6" ht="28">
      <c r="A34" s="16"/>
      <c r="B34" s="24"/>
      <c r="C34" s="18" t="s">
        <v>46</v>
      </c>
      <c r="D34" s="18">
        <f>C5</f>
        <v>25100.1</v>
      </c>
      <c r="E34" s="17"/>
      <c r="F34" s="19"/>
    </row>
  </sheetData>
  <mergeCells count="4">
    <mergeCell ref="A1:F1"/>
    <mergeCell ref="A9:F9"/>
    <mergeCell ref="A16:F16"/>
    <mergeCell ref="A24:F2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5"/>
  <sheetViews>
    <sheetView workbookViewId="0">
      <selection sqref="A1:F1"/>
    </sheetView>
  </sheetViews>
  <sheetFormatPr defaultRowHeight="14"/>
  <cols>
    <col min="1" max="1" width="31" customWidth="1"/>
    <col min="2" max="2" width="11" customWidth="1"/>
    <col min="3" max="4" width="13" customWidth="1"/>
    <col min="5" max="5" width="8" customWidth="1"/>
    <col min="6" max="6" width="42" customWidth="1"/>
  </cols>
  <sheetData>
    <row r="1" spans="1:6" ht="18">
      <c r="A1" s="34" t="s">
        <v>184</v>
      </c>
      <c r="B1" s="34"/>
      <c r="C1" s="34"/>
      <c r="D1" s="34"/>
      <c r="E1" s="34"/>
      <c r="F1" s="34"/>
    </row>
    <row r="2" spans="1:6">
      <c r="A2" s="25"/>
      <c r="B2" s="25"/>
      <c r="C2" s="25"/>
      <c r="D2" s="25"/>
      <c r="E2" s="25"/>
      <c r="F2" s="25"/>
    </row>
    <row r="3" spans="1:6" ht="42">
      <c r="A3" s="25"/>
      <c r="B3" s="26" t="s">
        <v>1</v>
      </c>
      <c r="C3" s="27">
        <f>SUM(D14,D22,D31)</f>
        <v>19860</v>
      </c>
      <c r="D3" s="26" t="s">
        <v>2</v>
      </c>
      <c r="E3" s="27">
        <f>C5</f>
        <v>28399.8</v>
      </c>
      <c r="F3" s="25"/>
    </row>
    <row r="4" spans="1:6" ht="42">
      <c r="A4" s="25"/>
      <c r="B4" s="26" t="s">
        <v>3</v>
      </c>
      <c r="C4" s="28">
        <v>1.43</v>
      </c>
      <c r="D4" s="25"/>
      <c r="E4" s="25"/>
      <c r="F4" s="25"/>
    </row>
    <row r="5" spans="1:6" ht="42">
      <c r="A5" s="25"/>
      <c r="B5" s="26" t="s">
        <v>4</v>
      </c>
      <c r="C5" s="27">
        <f>C3*C4</f>
        <v>28399.8</v>
      </c>
      <c r="D5" s="25"/>
      <c r="E5" s="25"/>
      <c r="F5" s="25"/>
    </row>
    <row r="6" spans="1:6">
      <c r="A6" s="25"/>
      <c r="B6" s="25"/>
      <c r="C6" s="25"/>
      <c r="D6" s="25"/>
      <c r="E6" s="25"/>
      <c r="F6" s="25"/>
    </row>
    <row r="7" spans="1:6">
      <c r="A7" s="25"/>
      <c r="B7" s="25"/>
      <c r="C7" s="25"/>
      <c r="D7" s="25"/>
      <c r="E7" s="25"/>
      <c r="F7" s="25"/>
    </row>
    <row r="8" spans="1:6">
      <c r="A8" s="29" t="s">
        <v>5</v>
      </c>
      <c r="B8" s="30" t="s">
        <v>6</v>
      </c>
      <c r="C8" s="30" t="s">
        <v>7</v>
      </c>
      <c r="D8" s="30" t="s">
        <v>8</v>
      </c>
      <c r="E8" s="30" t="s">
        <v>9</v>
      </c>
      <c r="F8" s="31" t="s">
        <v>10</v>
      </c>
    </row>
    <row r="9" spans="1:6">
      <c r="A9" s="35" t="s">
        <v>11</v>
      </c>
      <c r="B9" s="36"/>
      <c r="C9" s="36"/>
      <c r="D9" s="36"/>
      <c r="E9" s="37"/>
      <c r="F9" s="38"/>
    </row>
    <row r="10" spans="1:6">
      <c r="A10" s="12" t="s">
        <v>185</v>
      </c>
      <c r="B10" s="21">
        <v>1</v>
      </c>
      <c r="C10" s="21">
        <v>420</v>
      </c>
      <c r="D10" s="21">
        <f>B10*C10</f>
        <v>420</v>
      </c>
      <c r="E10" s="20">
        <v>4</v>
      </c>
      <c r="F10" s="14"/>
    </row>
    <row r="11" spans="1:6">
      <c r="A11" s="12" t="s">
        <v>59</v>
      </c>
      <c r="B11" s="21">
        <v>2</v>
      </c>
      <c r="C11" s="21">
        <v>120</v>
      </c>
      <c r="D11" s="21">
        <f>B11*C11</f>
        <v>240</v>
      </c>
      <c r="E11" s="20">
        <v>4</v>
      </c>
      <c r="F11" s="14"/>
    </row>
    <row r="12" spans="1:6">
      <c r="A12" s="12" t="s">
        <v>16</v>
      </c>
      <c r="B12" s="21">
        <v>2</v>
      </c>
      <c r="C12" s="21">
        <v>65</v>
      </c>
      <c r="D12" s="21">
        <f>B12*C12</f>
        <v>130</v>
      </c>
      <c r="E12" s="20">
        <v>4</v>
      </c>
      <c r="F12" s="14"/>
    </row>
    <row r="13" spans="1:6">
      <c r="A13" s="12" t="s">
        <v>121</v>
      </c>
      <c r="B13" s="21">
        <v>1</v>
      </c>
      <c r="C13" s="21">
        <v>120</v>
      </c>
      <c r="D13" s="21">
        <f>B13*C13</f>
        <v>120</v>
      </c>
      <c r="E13" s="20">
        <v>4</v>
      </c>
      <c r="F13" s="14"/>
    </row>
    <row r="14" spans="1:6">
      <c r="A14" s="12"/>
      <c r="B14" s="21"/>
      <c r="C14" s="22" t="s">
        <v>21</v>
      </c>
      <c r="D14" s="22">
        <f>SUM(D10:D13)</f>
        <v>910</v>
      </c>
      <c r="E14" s="20"/>
      <c r="F14" s="14"/>
    </row>
    <row r="15" spans="1:6">
      <c r="A15" s="12"/>
      <c r="B15" s="21"/>
      <c r="C15" s="21"/>
      <c r="D15" s="21"/>
      <c r="E15" s="20"/>
      <c r="F15" s="14"/>
    </row>
    <row r="16" spans="1:6">
      <c r="A16" s="35" t="s">
        <v>22</v>
      </c>
      <c r="B16" s="39"/>
      <c r="C16" s="39"/>
      <c r="D16" s="39"/>
      <c r="E16" s="40"/>
      <c r="F16" s="38"/>
    </row>
    <row r="17" spans="1:6">
      <c r="A17" s="12" t="s">
        <v>186</v>
      </c>
      <c r="B17" s="21">
        <v>48</v>
      </c>
      <c r="C17" s="21">
        <v>230</v>
      </c>
      <c r="D17" s="21">
        <f>B17*C17</f>
        <v>11040</v>
      </c>
      <c r="E17" s="20">
        <v>4</v>
      </c>
      <c r="F17" s="14" t="s">
        <v>187</v>
      </c>
    </row>
    <row r="18" spans="1:6">
      <c r="A18" s="12" t="s">
        <v>188</v>
      </c>
      <c r="B18" s="21">
        <v>6</v>
      </c>
      <c r="C18" s="21">
        <v>260</v>
      </c>
      <c r="D18" s="21">
        <f>B18*C18</f>
        <v>1560</v>
      </c>
      <c r="E18" s="20">
        <v>4</v>
      </c>
      <c r="F18" s="14"/>
    </row>
    <row r="19" spans="1:6">
      <c r="A19" s="12" t="s">
        <v>27</v>
      </c>
      <c r="B19" s="21">
        <v>54</v>
      </c>
      <c r="C19" s="21">
        <v>55</v>
      </c>
      <c r="D19" s="21">
        <f>B19*C19</f>
        <v>2970</v>
      </c>
      <c r="E19" s="20">
        <v>4</v>
      </c>
      <c r="F19" s="14"/>
    </row>
    <row r="20" spans="1:6">
      <c r="A20" s="12" t="s">
        <v>36</v>
      </c>
      <c r="B20" s="21">
        <v>3</v>
      </c>
      <c r="C20" s="21">
        <v>240</v>
      </c>
      <c r="D20" s="21">
        <f>B20*C20</f>
        <v>720</v>
      </c>
      <c r="E20" s="20">
        <v>4</v>
      </c>
      <c r="F20" s="14"/>
    </row>
    <row r="21" spans="1:6">
      <c r="A21" s="12" t="s">
        <v>189</v>
      </c>
      <c r="B21" s="21">
        <v>12</v>
      </c>
      <c r="C21" s="21">
        <v>35</v>
      </c>
      <c r="D21" s="21">
        <f>B21*C21</f>
        <v>420</v>
      </c>
      <c r="E21" s="20">
        <v>4</v>
      </c>
      <c r="F21" s="14"/>
    </row>
    <row r="22" spans="1:6">
      <c r="A22" s="12"/>
      <c r="B22" s="21"/>
      <c r="C22" s="22" t="s">
        <v>21</v>
      </c>
      <c r="D22" s="22">
        <f>SUM(D17:D21)</f>
        <v>16710</v>
      </c>
      <c r="E22" s="20"/>
      <c r="F22" s="14"/>
    </row>
    <row r="23" spans="1:6">
      <c r="A23" s="12"/>
      <c r="B23" s="21"/>
      <c r="C23" s="21"/>
      <c r="D23" s="21"/>
      <c r="E23" s="20"/>
      <c r="F23" s="14"/>
    </row>
    <row r="24" spans="1:6">
      <c r="A24" s="35" t="s">
        <v>171</v>
      </c>
      <c r="B24" s="39"/>
      <c r="C24" s="39"/>
      <c r="D24" s="39"/>
      <c r="E24" s="40"/>
      <c r="F24" s="38"/>
    </row>
    <row r="25" spans="1:6">
      <c r="A25" s="12" t="s">
        <v>43</v>
      </c>
      <c r="B25" s="21">
        <v>3</v>
      </c>
      <c r="C25" s="21">
        <v>120</v>
      </c>
      <c r="D25" s="21">
        <f t="shared" ref="D25:D30" si="0">B25*C25</f>
        <v>360</v>
      </c>
      <c r="E25" s="20">
        <v>4</v>
      </c>
      <c r="F25" s="14"/>
    </row>
    <row r="26" spans="1:6">
      <c r="A26" s="12" t="s">
        <v>33</v>
      </c>
      <c r="B26" s="21">
        <v>3</v>
      </c>
      <c r="C26" s="21">
        <v>160</v>
      </c>
      <c r="D26" s="21">
        <f t="shared" si="0"/>
        <v>480</v>
      </c>
      <c r="E26" s="20">
        <v>4</v>
      </c>
      <c r="F26" s="14"/>
    </row>
    <row r="27" spans="1:6">
      <c r="A27" s="12" t="s">
        <v>34</v>
      </c>
      <c r="B27" s="21">
        <v>3</v>
      </c>
      <c r="C27" s="21">
        <v>140</v>
      </c>
      <c r="D27" s="21">
        <f t="shared" si="0"/>
        <v>420</v>
      </c>
      <c r="E27" s="20">
        <v>4</v>
      </c>
      <c r="F27" s="14"/>
    </row>
    <row r="28" spans="1:6">
      <c r="A28" s="12" t="s">
        <v>85</v>
      </c>
      <c r="B28" s="21">
        <v>2</v>
      </c>
      <c r="C28" s="21">
        <v>220</v>
      </c>
      <c r="D28" s="21">
        <f t="shared" si="0"/>
        <v>440</v>
      </c>
      <c r="E28" s="20">
        <v>4</v>
      </c>
      <c r="F28" s="14"/>
    </row>
    <row r="29" spans="1:6">
      <c r="A29" s="12" t="s">
        <v>39</v>
      </c>
      <c r="B29" s="21">
        <v>1</v>
      </c>
      <c r="C29" s="21">
        <v>320</v>
      </c>
      <c r="D29" s="21">
        <f t="shared" si="0"/>
        <v>320</v>
      </c>
      <c r="E29" s="20">
        <v>4</v>
      </c>
      <c r="F29" s="14"/>
    </row>
    <row r="30" spans="1:6">
      <c r="A30" s="12" t="s">
        <v>41</v>
      </c>
      <c r="B30" s="21">
        <v>4</v>
      </c>
      <c r="C30" s="21">
        <v>55</v>
      </c>
      <c r="D30" s="21">
        <f t="shared" si="0"/>
        <v>220</v>
      </c>
      <c r="E30" s="20">
        <v>4</v>
      </c>
      <c r="F30" s="14"/>
    </row>
    <row r="31" spans="1:6">
      <c r="A31" s="12"/>
      <c r="B31" s="21"/>
      <c r="C31" s="22" t="s">
        <v>21</v>
      </c>
      <c r="D31" s="22">
        <f>SUM(D25:D30)</f>
        <v>2240</v>
      </c>
      <c r="E31" s="20"/>
      <c r="F31" s="14"/>
    </row>
    <row r="32" spans="1:6">
      <c r="A32" s="12"/>
      <c r="B32" s="21"/>
      <c r="C32" s="21"/>
      <c r="D32" s="21"/>
      <c r="E32" s="20"/>
      <c r="F32" s="14"/>
    </row>
    <row r="33" spans="1:6">
      <c r="A33" s="12"/>
      <c r="B33" s="23"/>
      <c r="C33" s="15" t="s">
        <v>21</v>
      </c>
      <c r="D33" s="15">
        <f>C3</f>
        <v>19860</v>
      </c>
      <c r="E33" s="13"/>
      <c r="F33" s="14"/>
    </row>
    <row r="34" spans="1:6" ht="28">
      <c r="A34" s="12"/>
      <c r="B34" s="23"/>
      <c r="C34" s="15" t="s">
        <v>45</v>
      </c>
      <c r="D34" s="15">
        <f>C4</f>
        <v>1.43</v>
      </c>
      <c r="E34" s="13"/>
      <c r="F34" s="14"/>
    </row>
    <row r="35" spans="1:6" ht="28">
      <c r="A35" s="16"/>
      <c r="B35" s="24"/>
      <c r="C35" s="18" t="s">
        <v>46</v>
      </c>
      <c r="D35" s="18">
        <f>C5</f>
        <v>28399.8</v>
      </c>
      <c r="E35" s="17"/>
      <c r="F35" s="19"/>
    </row>
  </sheetData>
  <mergeCells count="4">
    <mergeCell ref="A1:F1"/>
    <mergeCell ref="A9:F9"/>
    <mergeCell ref="A16:F16"/>
    <mergeCell ref="A24:F2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4"/>
  <sheetViews>
    <sheetView workbookViewId="0">
      <selection sqref="A1:F1"/>
    </sheetView>
  </sheetViews>
  <sheetFormatPr defaultRowHeight="14"/>
  <cols>
    <col min="1" max="1" width="31" customWidth="1"/>
    <col min="2" max="2" width="11" customWidth="1"/>
    <col min="3" max="4" width="13" customWidth="1"/>
    <col min="5" max="5" width="8" customWidth="1"/>
    <col min="6" max="6" width="42" customWidth="1"/>
  </cols>
  <sheetData>
    <row r="1" spans="1:6" ht="18">
      <c r="A1" s="34" t="s">
        <v>190</v>
      </c>
      <c r="B1" s="34"/>
      <c r="C1" s="34"/>
      <c r="D1" s="34"/>
      <c r="E1" s="34"/>
      <c r="F1" s="34"/>
    </row>
    <row r="2" spans="1:6">
      <c r="A2" s="25"/>
      <c r="B2" s="25"/>
      <c r="C2" s="25"/>
      <c r="D2" s="25"/>
      <c r="E2" s="25"/>
      <c r="F2" s="25"/>
    </row>
    <row r="3" spans="1:6" ht="42">
      <c r="A3" s="25"/>
      <c r="B3" s="26" t="s">
        <v>1</v>
      </c>
      <c r="C3" s="27">
        <f>SUM(D14,D22,D30)</f>
        <v>11360</v>
      </c>
      <c r="D3" s="26" t="s">
        <v>2</v>
      </c>
      <c r="E3" s="27">
        <f>C5</f>
        <v>17380.8</v>
      </c>
      <c r="F3" s="25"/>
    </row>
    <row r="4" spans="1:6" ht="42">
      <c r="A4" s="25"/>
      <c r="B4" s="26" t="s">
        <v>3</v>
      </c>
      <c r="C4" s="28">
        <v>1.53</v>
      </c>
      <c r="D4" s="25"/>
      <c r="E4" s="25"/>
      <c r="F4" s="25"/>
    </row>
    <row r="5" spans="1:6" ht="42">
      <c r="A5" s="25"/>
      <c r="B5" s="26" t="s">
        <v>4</v>
      </c>
      <c r="C5" s="27">
        <f>C3*C4</f>
        <v>17380.8</v>
      </c>
      <c r="D5" s="25"/>
      <c r="E5" s="25"/>
      <c r="F5" s="25"/>
    </row>
    <row r="6" spans="1:6">
      <c r="A6" s="25"/>
      <c r="B6" s="25"/>
      <c r="C6" s="25"/>
      <c r="D6" s="25"/>
      <c r="E6" s="25"/>
      <c r="F6" s="25"/>
    </row>
    <row r="7" spans="1:6">
      <c r="A7" s="25"/>
      <c r="B7" s="25"/>
      <c r="C7" s="25"/>
      <c r="D7" s="25"/>
      <c r="E7" s="25"/>
      <c r="F7" s="25"/>
    </row>
    <row r="8" spans="1:6">
      <c r="A8" s="29" t="s">
        <v>5</v>
      </c>
      <c r="B8" s="30" t="s">
        <v>6</v>
      </c>
      <c r="C8" s="30" t="s">
        <v>7</v>
      </c>
      <c r="D8" s="30" t="s">
        <v>8</v>
      </c>
      <c r="E8" s="30" t="s">
        <v>9</v>
      </c>
      <c r="F8" s="31" t="s">
        <v>10</v>
      </c>
    </row>
    <row r="9" spans="1:6">
      <c r="A9" s="35" t="s">
        <v>11</v>
      </c>
      <c r="B9" s="36"/>
      <c r="C9" s="36"/>
      <c r="D9" s="36"/>
      <c r="E9" s="37"/>
      <c r="F9" s="38"/>
    </row>
    <row r="10" spans="1:6">
      <c r="A10" s="12" t="s">
        <v>121</v>
      </c>
      <c r="B10" s="21">
        <v>1</v>
      </c>
      <c r="C10" s="21">
        <v>160</v>
      </c>
      <c r="D10" s="21">
        <f>B10*C10</f>
        <v>160</v>
      </c>
      <c r="E10" s="20">
        <v>2</v>
      </c>
      <c r="F10" s="14"/>
    </row>
    <row r="11" spans="1:6">
      <c r="A11" s="12" t="s">
        <v>90</v>
      </c>
      <c r="B11" s="21">
        <v>1</v>
      </c>
      <c r="C11" s="21">
        <v>550</v>
      </c>
      <c r="D11" s="21">
        <f>B11*C11</f>
        <v>550</v>
      </c>
      <c r="E11" s="20">
        <v>2</v>
      </c>
      <c r="F11" s="14"/>
    </row>
    <row r="12" spans="1:6">
      <c r="A12" s="12" t="s">
        <v>14</v>
      </c>
      <c r="B12" s="21">
        <v>3</v>
      </c>
      <c r="C12" s="21">
        <v>120</v>
      </c>
      <c r="D12" s="21">
        <f>B12*C12</f>
        <v>360</v>
      </c>
      <c r="E12" s="20">
        <v>2</v>
      </c>
      <c r="F12" s="14"/>
    </row>
    <row r="13" spans="1:6">
      <c r="A13" s="12" t="s">
        <v>16</v>
      </c>
      <c r="B13" s="21">
        <v>4</v>
      </c>
      <c r="C13" s="21">
        <v>65</v>
      </c>
      <c r="D13" s="21">
        <f>B13*C13</f>
        <v>260</v>
      </c>
      <c r="E13" s="20">
        <v>2</v>
      </c>
      <c r="F13" s="14"/>
    </row>
    <row r="14" spans="1:6">
      <c r="A14" s="12"/>
      <c r="B14" s="21"/>
      <c r="C14" s="22" t="s">
        <v>21</v>
      </c>
      <c r="D14" s="22">
        <f>SUM(D10:D13)</f>
        <v>1330</v>
      </c>
      <c r="E14" s="20"/>
      <c r="F14" s="14"/>
    </row>
    <row r="15" spans="1:6">
      <c r="A15" s="12"/>
      <c r="B15" s="21"/>
      <c r="C15" s="21"/>
      <c r="D15" s="21"/>
      <c r="E15" s="20"/>
      <c r="F15" s="14"/>
    </row>
    <row r="16" spans="1:6">
      <c r="A16" s="35" t="s">
        <v>191</v>
      </c>
      <c r="B16" s="39"/>
      <c r="C16" s="39"/>
      <c r="D16" s="39"/>
      <c r="E16" s="40"/>
      <c r="F16" s="38"/>
    </row>
    <row r="17" spans="1:6">
      <c r="A17" s="12" t="s">
        <v>192</v>
      </c>
      <c r="B17" s="21">
        <v>4</v>
      </c>
      <c r="C17" s="21">
        <v>650</v>
      </c>
      <c r="D17" s="21">
        <f>B17*C17</f>
        <v>2600</v>
      </c>
      <c r="E17" s="20">
        <v>2</v>
      </c>
      <c r="F17" s="14" t="s">
        <v>97</v>
      </c>
    </row>
    <row r="18" spans="1:6">
      <c r="A18" s="12" t="s">
        <v>193</v>
      </c>
      <c r="B18" s="21">
        <v>2</v>
      </c>
      <c r="C18" s="21">
        <v>700</v>
      </c>
      <c r="D18" s="21">
        <f>B18*C18</f>
        <v>1400</v>
      </c>
      <c r="E18" s="20">
        <v>2</v>
      </c>
      <c r="F18" s="14" t="s">
        <v>194</v>
      </c>
    </row>
    <row r="19" spans="1:6">
      <c r="A19" s="12" t="s">
        <v>195</v>
      </c>
      <c r="B19" s="21">
        <v>4</v>
      </c>
      <c r="C19" s="21">
        <v>220</v>
      </c>
      <c r="D19" s="21">
        <f>B19*C19</f>
        <v>880</v>
      </c>
      <c r="E19" s="20">
        <v>2</v>
      </c>
      <c r="F19" s="14"/>
    </row>
    <row r="20" spans="1:6">
      <c r="A20" s="12" t="s">
        <v>196</v>
      </c>
      <c r="B20" s="21">
        <v>3</v>
      </c>
      <c r="C20" s="21">
        <v>250</v>
      </c>
      <c r="D20" s="21">
        <f>B20*C20</f>
        <v>750</v>
      </c>
      <c r="E20" s="20">
        <v>2</v>
      </c>
      <c r="F20" s="14"/>
    </row>
    <row r="21" spans="1:6">
      <c r="A21" s="12" t="s">
        <v>197</v>
      </c>
      <c r="B21" s="21">
        <v>3</v>
      </c>
      <c r="C21" s="21">
        <v>140</v>
      </c>
      <c r="D21" s="21">
        <f>B21*C21</f>
        <v>420</v>
      </c>
      <c r="E21" s="20">
        <v>2</v>
      </c>
      <c r="F21" s="14"/>
    </row>
    <row r="22" spans="1:6">
      <c r="A22" s="12"/>
      <c r="B22" s="21"/>
      <c r="C22" s="22" t="s">
        <v>21</v>
      </c>
      <c r="D22" s="22">
        <f>SUM(D17:D21)</f>
        <v>6050</v>
      </c>
      <c r="E22" s="20"/>
      <c r="F22" s="14"/>
    </row>
    <row r="23" spans="1:6">
      <c r="A23" s="12"/>
      <c r="B23" s="21"/>
      <c r="C23" s="21"/>
      <c r="D23" s="21"/>
      <c r="E23" s="20"/>
      <c r="F23" s="14"/>
    </row>
    <row r="24" spans="1:6">
      <c r="A24" s="35" t="s">
        <v>159</v>
      </c>
      <c r="B24" s="39"/>
      <c r="C24" s="39"/>
      <c r="D24" s="39"/>
      <c r="E24" s="40"/>
      <c r="F24" s="38"/>
    </row>
    <row r="25" spans="1:6">
      <c r="A25" s="12" t="s">
        <v>198</v>
      </c>
      <c r="B25" s="21">
        <v>24</v>
      </c>
      <c r="C25" s="21">
        <v>110</v>
      </c>
      <c r="D25" s="21">
        <f>B25*C25</f>
        <v>2640</v>
      </c>
      <c r="E25" s="20">
        <v>2</v>
      </c>
      <c r="F25" s="14"/>
    </row>
    <row r="26" spans="1:6">
      <c r="A26" s="12" t="s">
        <v>36</v>
      </c>
      <c r="B26" s="21">
        <v>2</v>
      </c>
      <c r="C26" s="21">
        <v>220</v>
      </c>
      <c r="D26" s="21">
        <f>B26*C26</f>
        <v>440</v>
      </c>
      <c r="E26" s="20">
        <v>2</v>
      </c>
      <c r="F26" s="14"/>
    </row>
    <row r="27" spans="1:6">
      <c r="A27" s="12" t="s">
        <v>33</v>
      </c>
      <c r="B27" s="21">
        <v>2</v>
      </c>
      <c r="C27" s="21">
        <v>160</v>
      </c>
      <c r="D27" s="21">
        <f>B27*C27</f>
        <v>320</v>
      </c>
      <c r="E27" s="20">
        <v>2</v>
      </c>
      <c r="F27" s="14"/>
    </row>
    <row r="28" spans="1:6">
      <c r="A28" s="12" t="s">
        <v>34</v>
      </c>
      <c r="B28" s="21">
        <v>2</v>
      </c>
      <c r="C28" s="21">
        <v>140</v>
      </c>
      <c r="D28" s="21">
        <f>B28*C28</f>
        <v>280</v>
      </c>
      <c r="E28" s="20">
        <v>2</v>
      </c>
      <c r="F28" s="14"/>
    </row>
    <row r="29" spans="1:6">
      <c r="A29" s="12" t="s">
        <v>85</v>
      </c>
      <c r="B29" s="21">
        <v>1</v>
      </c>
      <c r="C29" s="21">
        <v>300</v>
      </c>
      <c r="D29" s="21">
        <f>B29*C29</f>
        <v>300</v>
      </c>
      <c r="E29" s="20">
        <v>2</v>
      </c>
      <c r="F29" s="14"/>
    </row>
    <row r="30" spans="1:6">
      <c r="A30" s="12"/>
      <c r="B30" s="21"/>
      <c r="C30" s="22" t="s">
        <v>21</v>
      </c>
      <c r="D30" s="22">
        <f>SUM(D25:D29)</f>
        <v>3980</v>
      </c>
      <c r="E30" s="20"/>
      <c r="F30" s="14"/>
    </row>
    <row r="31" spans="1:6">
      <c r="A31" s="12"/>
      <c r="B31" s="21"/>
      <c r="C31" s="21"/>
      <c r="D31" s="21"/>
      <c r="E31" s="20"/>
      <c r="F31" s="14"/>
    </row>
    <row r="32" spans="1:6">
      <c r="A32" s="12"/>
      <c r="B32" s="23"/>
      <c r="C32" s="15" t="s">
        <v>21</v>
      </c>
      <c r="D32" s="15">
        <f>C3</f>
        <v>11360</v>
      </c>
      <c r="E32" s="13"/>
      <c r="F32" s="14"/>
    </row>
    <row r="33" spans="1:6" ht="28">
      <c r="A33" s="12"/>
      <c r="B33" s="23"/>
      <c r="C33" s="15" t="s">
        <v>45</v>
      </c>
      <c r="D33" s="15">
        <f>C4</f>
        <v>1.53</v>
      </c>
      <c r="E33" s="13"/>
      <c r="F33" s="14"/>
    </row>
    <row r="34" spans="1:6" ht="28">
      <c r="A34" s="16"/>
      <c r="B34" s="24"/>
      <c r="C34" s="18" t="s">
        <v>46</v>
      </c>
      <c r="D34" s="18">
        <f>C5</f>
        <v>17380.8</v>
      </c>
      <c r="E34" s="17"/>
      <c r="F34" s="19"/>
    </row>
  </sheetData>
  <mergeCells count="4">
    <mergeCell ref="A1:F1"/>
    <mergeCell ref="A9:F9"/>
    <mergeCell ref="A16:F16"/>
    <mergeCell ref="A24:F2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5"/>
  <sheetViews>
    <sheetView workbookViewId="0">
      <selection sqref="A1:F1"/>
    </sheetView>
  </sheetViews>
  <sheetFormatPr defaultRowHeight="14"/>
  <cols>
    <col min="1" max="1" width="31" customWidth="1"/>
    <col min="2" max="2" width="11" customWidth="1"/>
    <col min="3" max="4" width="13" customWidth="1"/>
    <col min="5" max="5" width="8" customWidth="1"/>
    <col min="6" max="6" width="42" customWidth="1"/>
  </cols>
  <sheetData>
    <row r="1" spans="1:6" ht="18">
      <c r="A1" s="34" t="s">
        <v>199</v>
      </c>
      <c r="B1" s="34"/>
      <c r="C1" s="34"/>
      <c r="D1" s="34"/>
      <c r="E1" s="34"/>
      <c r="F1" s="34"/>
    </row>
    <row r="2" spans="1:6">
      <c r="A2" s="25"/>
      <c r="B2" s="25"/>
      <c r="C2" s="25"/>
      <c r="D2" s="25"/>
      <c r="E2" s="25"/>
      <c r="F2" s="25"/>
    </row>
    <row r="3" spans="1:6" ht="42">
      <c r="A3" s="25"/>
      <c r="B3" s="26" t="s">
        <v>1</v>
      </c>
      <c r="C3" s="27">
        <f>SUM(D15,D23,D31)</f>
        <v>10340</v>
      </c>
      <c r="D3" s="26" t="s">
        <v>2</v>
      </c>
      <c r="E3" s="27">
        <f>C5</f>
        <v>14579.4</v>
      </c>
      <c r="F3" s="25"/>
    </row>
    <row r="4" spans="1:6" ht="42">
      <c r="A4" s="25"/>
      <c r="B4" s="26" t="s">
        <v>3</v>
      </c>
      <c r="C4" s="28">
        <v>1.41</v>
      </c>
      <c r="D4" s="25"/>
      <c r="E4" s="25"/>
      <c r="F4" s="25"/>
    </row>
    <row r="5" spans="1:6" ht="42">
      <c r="A5" s="25"/>
      <c r="B5" s="26" t="s">
        <v>4</v>
      </c>
      <c r="C5" s="27">
        <f>C3*C4</f>
        <v>14579.4</v>
      </c>
      <c r="D5" s="25"/>
      <c r="E5" s="25"/>
      <c r="F5" s="25"/>
    </row>
    <row r="6" spans="1:6">
      <c r="A6" s="25"/>
      <c r="B6" s="25"/>
      <c r="C6" s="25"/>
      <c r="D6" s="25"/>
      <c r="E6" s="25"/>
      <c r="F6" s="25"/>
    </row>
    <row r="7" spans="1:6">
      <c r="A7" s="25"/>
      <c r="B7" s="25"/>
      <c r="C7" s="25"/>
      <c r="D7" s="25"/>
      <c r="E7" s="25"/>
      <c r="F7" s="25"/>
    </row>
    <row r="8" spans="1:6">
      <c r="A8" s="29" t="s">
        <v>5</v>
      </c>
      <c r="B8" s="30" t="s">
        <v>6</v>
      </c>
      <c r="C8" s="30" t="s">
        <v>7</v>
      </c>
      <c r="D8" s="30" t="s">
        <v>8</v>
      </c>
      <c r="E8" s="30" t="s">
        <v>9</v>
      </c>
      <c r="F8" s="31" t="s">
        <v>10</v>
      </c>
    </row>
    <row r="9" spans="1:6">
      <c r="A9" s="35" t="s">
        <v>11</v>
      </c>
      <c r="B9" s="36"/>
      <c r="C9" s="36"/>
      <c r="D9" s="36"/>
      <c r="E9" s="37"/>
      <c r="F9" s="38"/>
    </row>
    <row r="10" spans="1:6">
      <c r="A10" s="12" t="s">
        <v>121</v>
      </c>
      <c r="B10" s="21">
        <v>1</v>
      </c>
      <c r="C10" s="21">
        <v>180</v>
      </c>
      <c r="D10" s="21">
        <f>B10*C10</f>
        <v>180</v>
      </c>
      <c r="E10" s="20">
        <v>1</v>
      </c>
      <c r="F10" s="14"/>
    </row>
    <row r="11" spans="1:6">
      <c r="A11" s="12" t="s">
        <v>90</v>
      </c>
      <c r="B11" s="21">
        <v>1</v>
      </c>
      <c r="C11" s="21">
        <v>700</v>
      </c>
      <c r="D11" s="21">
        <f>B11*C11</f>
        <v>700</v>
      </c>
      <c r="E11" s="20">
        <v>1</v>
      </c>
      <c r="F11" s="14" t="s">
        <v>200</v>
      </c>
    </row>
    <row r="12" spans="1:6">
      <c r="A12" s="12" t="s">
        <v>201</v>
      </c>
      <c r="B12" s="21">
        <v>1</v>
      </c>
      <c r="C12" s="21">
        <v>180</v>
      </c>
      <c r="D12" s="21">
        <f>B12*C12</f>
        <v>180</v>
      </c>
      <c r="E12" s="20">
        <v>1</v>
      </c>
      <c r="F12" s="14"/>
    </row>
    <row r="13" spans="1:6">
      <c r="A13" s="12" t="s">
        <v>14</v>
      </c>
      <c r="B13" s="21">
        <v>4</v>
      </c>
      <c r="C13" s="21">
        <v>120</v>
      </c>
      <c r="D13" s="21">
        <f>B13*C13</f>
        <v>480</v>
      </c>
      <c r="E13" s="20">
        <v>1</v>
      </c>
      <c r="F13" s="14"/>
    </row>
    <row r="14" spans="1:6">
      <c r="A14" s="12" t="s">
        <v>16</v>
      </c>
      <c r="B14" s="21">
        <v>6</v>
      </c>
      <c r="C14" s="21">
        <v>65</v>
      </c>
      <c r="D14" s="21">
        <f>B14*C14</f>
        <v>390</v>
      </c>
      <c r="E14" s="20">
        <v>1</v>
      </c>
      <c r="F14" s="14"/>
    </row>
    <row r="15" spans="1:6">
      <c r="A15" s="12"/>
      <c r="B15" s="21"/>
      <c r="C15" s="22" t="s">
        <v>21</v>
      </c>
      <c r="D15" s="22">
        <f>SUM(D10:D14)</f>
        <v>1930</v>
      </c>
      <c r="E15" s="20"/>
      <c r="F15" s="14"/>
    </row>
    <row r="16" spans="1:6">
      <c r="A16" s="12"/>
      <c r="B16" s="21"/>
      <c r="C16" s="21"/>
      <c r="D16" s="21"/>
      <c r="E16" s="20"/>
      <c r="F16" s="14"/>
    </row>
    <row r="17" spans="1:6">
      <c r="A17" s="35" t="s">
        <v>70</v>
      </c>
      <c r="B17" s="39"/>
      <c r="C17" s="39"/>
      <c r="D17" s="39"/>
      <c r="E17" s="40"/>
      <c r="F17" s="38"/>
    </row>
    <row r="18" spans="1:6">
      <c r="A18" s="12" t="s">
        <v>202</v>
      </c>
      <c r="B18" s="21">
        <v>36</v>
      </c>
      <c r="C18" s="21">
        <v>95</v>
      </c>
      <c r="D18" s="21">
        <f>B18*C18</f>
        <v>3420</v>
      </c>
      <c r="E18" s="20">
        <v>1</v>
      </c>
      <c r="F18" s="14" t="s">
        <v>203</v>
      </c>
    </row>
    <row r="19" spans="1:6">
      <c r="A19" s="12" t="s">
        <v>204</v>
      </c>
      <c r="B19" s="21">
        <v>8</v>
      </c>
      <c r="C19" s="21">
        <v>140</v>
      </c>
      <c r="D19" s="21">
        <f>B19*C19</f>
        <v>1120</v>
      </c>
      <c r="E19" s="20">
        <v>1</v>
      </c>
      <c r="F19" s="14"/>
    </row>
    <row r="20" spans="1:6">
      <c r="A20" s="12" t="s">
        <v>205</v>
      </c>
      <c r="B20" s="21">
        <v>12</v>
      </c>
      <c r="C20" s="21">
        <v>120</v>
      </c>
      <c r="D20" s="21">
        <f>B20*C20</f>
        <v>1440</v>
      </c>
      <c r="E20" s="20">
        <v>1</v>
      </c>
      <c r="F20" s="14"/>
    </row>
    <row r="21" spans="1:6">
      <c r="A21" s="12" t="s">
        <v>81</v>
      </c>
      <c r="B21" s="21">
        <v>2</v>
      </c>
      <c r="C21" s="21">
        <v>200</v>
      </c>
      <c r="D21" s="21">
        <f>B21*C21</f>
        <v>400</v>
      </c>
      <c r="E21" s="20">
        <v>1</v>
      </c>
      <c r="F21" s="14"/>
    </row>
    <row r="22" spans="1:6">
      <c r="A22" s="12" t="s">
        <v>36</v>
      </c>
      <c r="B22" s="21">
        <v>3</v>
      </c>
      <c r="C22" s="21">
        <v>220</v>
      </c>
      <c r="D22" s="21">
        <f>B22*C22</f>
        <v>660</v>
      </c>
      <c r="E22" s="20">
        <v>1</v>
      </c>
      <c r="F22" s="14"/>
    </row>
    <row r="23" spans="1:6">
      <c r="A23" s="12"/>
      <c r="B23" s="21"/>
      <c r="C23" s="22" t="s">
        <v>21</v>
      </c>
      <c r="D23" s="22">
        <f>SUM(D18:D22)</f>
        <v>7040</v>
      </c>
      <c r="E23" s="20"/>
      <c r="F23" s="14"/>
    </row>
    <row r="24" spans="1:6">
      <c r="A24" s="12"/>
      <c r="B24" s="21"/>
      <c r="C24" s="21"/>
      <c r="D24" s="21"/>
      <c r="E24" s="20"/>
      <c r="F24" s="14"/>
    </row>
    <row r="25" spans="1:6">
      <c r="A25" s="35" t="s">
        <v>206</v>
      </c>
      <c r="B25" s="39"/>
      <c r="C25" s="39"/>
      <c r="D25" s="39"/>
      <c r="E25" s="40"/>
      <c r="F25" s="38"/>
    </row>
    <row r="26" spans="1:6">
      <c r="A26" s="12" t="s">
        <v>207</v>
      </c>
      <c r="B26" s="21">
        <v>1</v>
      </c>
      <c r="C26" s="21">
        <v>450</v>
      </c>
      <c r="D26" s="21">
        <f>B26*C26</f>
        <v>450</v>
      </c>
      <c r="E26" s="20">
        <v>1</v>
      </c>
      <c r="F26" s="14" t="s">
        <v>208</v>
      </c>
    </row>
    <row r="27" spans="1:6">
      <c r="A27" s="12" t="s">
        <v>209</v>
      </c>
      <c r="B27" s="21">
        <v>1</v>
      </c>
      <c r="C27" s="21">
        <v>160</v>
      </c>
      <c r="D27" s="21">
        <f>B27*C27</f>
        <v>160</v>
      </c>
      <c r="E27" s="20">
        <v>1</v>
      </c>
      <c r="F27" s="14"/>
    </row>
    <row r="28" spans="1:6">
      <c r="A28" s="12" t="s">
        <v>43</v>
      </c>
      <c r="B28" s="21">
        <v>2</v>
      </c>
      <c r="C28" s="21">
        <v>120</v>
      </c>
      <c r="D28" s="21">
        <f>B28*C28</f>
        <v>240</v>
      </c>
      <c r="E28" s="20">
        <v>1</v>
      </c>
      <c r="F28" s="14"/>
    </row>
    <row r="29" spans="1:6">
      <c r="A29" s="12" t="s">
        <v>33</v>
      </c>
      <c r="B29" s="21">
        <v>2</v>
      </c>
      <c r="C29" s="21">
        <v>140</v>
      </c>
      <c r="D29" s="21">
        <f>B29*C29</f>
        <v>280</v>
      </c>
      <c r="E29" s="20">
        <v>1</v>
      </c>
      <c r="F29" s="14"/>
    </row>
    <row r="30" spans="1:6">
      <c r="A30" s="12" t="s">
        <v>34</v>
      </c>
      <c r="B30" s="21">
        <v>2</v>
      </c>
      <c r="C30" s="21">
        <v>120</v>
      </c>
      <c r="D30" s="21">
        <f>B30*C30</f>
        <v>240</v>
      </c>
      <c r="E30" s="20">
        <v>1</v>
      </c>
      <c r="F30" s="14"/>
    </row>
    <row r="31" spans="1:6">
      <c r="A31" s="12"/>
      <c r="B31" s="21"/>
      <c r="C31" s="22" t="s">
        <v>21</v>
      </c>
      <c r="D31" s="22">
        <f>SUM(D26:D30)</f>
        <v>1370</v>
      </c>
      <c r="E31" s="20"/>
      <c r="F31" s="14"/>
    </row>
    <row r="32" spans="1:6">
      <c r="A32" s="12"/>
      <c r="B32" s="21"/>
      <c r="C32" s="21"/>
      <c r="D32" s="21"/>
      <c r="E32" s="20"/>
      <c r="F32" s="14"/>
    </row>
    <row r="33" spans="1:6">
      <c r="A33" s="12"/>
      <c r="B33" s="23"/>
      <c r="C33" s="15" t="s">
        <v>21</v>
      </c>
      <c r="D33" s="15">
        <f>C3</f>
        <v>10340</v>
      </c>
      <c r="E33" s="13"/>
      <c r="F33" s="14"/>
    </row>
    <row r="34" spans="1:6" ht="28">
      <c r="A34" s="12"/>
      <c r="B34" s="23"/>
      <c r="C34" s="15" t="s">
        <v>45</v>
      </c>
      <c r="D34" s="15">
        <f>C4</f>
        <v>1.41</v>
      </c>
      <c r="E34" s="13"/>
      <c r="F34" s="14"/>
    </row>
    <row r="35" spans="1:6" ht="28">
      <c r="A35" s="16"/>
      <c r="B35" s="24"/>
      <c r="C35" s="18" t="s">
        <v>46</v>
      </c>
      <c r="D35" s="18">
        <f>C5</f>
        <v>14579.4</v>
      </c>
      <c r="E35" s="17"/>
      <c r="F35" s="19"/>
    </row>
  </sheetData>
  <mergeCells count="4">
    <mergeCell ref="A1:F1"/>
    <mergeCell ref="A9:F9"/>
    <mergeCell ref="A17:F17"/>
    <mergeCell ref="A25:F2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5"/>
  <sheetViews>
    <sheetView workbookViewId="0">
      <selection sqref="A1:F1"/>
    </sheetView>
  </sheetViews>
  <sheetFormatPr defaultRowHeight="14"/>
  <cols>
    <col min="1" max="1" width="31" customWidth="1"/>
    <col min="2" max="2" width="11" customWidth="1"/>
    <col min="3" max="4" width="13" customWidth="1"/>
    <col min="5" max="5" width="8" customWidth="1"/>
    <col min="6" max="6" width="42" customWidth="1"/>
  </cols>
  <sheetData>
    <row r="1" spans="1:6" ht="18">
      <c r="A1" s="34" t="s">
        <v>210</v>
      </c>
      <c r="B1" s="34"/>
      <c r="C1" s="34"/>
      <c r="D1" s="34"/>
      <c r="E1" s="34"/>
      <c r="F1" s="34"/>
    </row>
    <row r="2" spans="1:6">
      <c r="A2" s="25"/>
      <c r="B2" s="25"/>
      <c r="C2" s="25"/>
      <c r="D2" s="25"/>
      <c r="E2" s="25"/>
      <c r="F2" s="25"/>
    </row>
    <row r="3" spans="1:6" ht="42">
      <c r="A3" s="25"/>
      <c r="B3" s="26" t="s">
        <v>1</v>
      </c>
      <c r="C3" s="27">
        <f>SUM(D14,D23,D31)</f>
        <v>10910</v>
      </c>
      <c r="D3" s="26" t="s">
        <v>2</v>
      </c>
      <c r="E3" s="27">
        <f>C5</f>
        <v>16037.699999999999</v>
      </c>
      <c r="F3" s="25"/>
    </row>
    <row r="4" spans="1:6" ht="42">
      <c r="A4" s="25"/>
      <c r="B4" s="26" t="s">
        <v>3</v>
      </c>
      <c r="C4" s="28">
        <v>1.47</v>
      </c>
      <c r="D4" s="25"/>
      <c r="E4" s="25"/>
      <c r="F4" s="25"/>
    </row>
    <row r="5" spans="1:6" ht="42">
      <c r="A5" s="25"/>
      <c r="B5" s="26" t="s">
        <v>4</v>
      </c>
      <c r="C5" s="27">
        <f>C3*C4</f>
        <v>16037.699999999999</v>
      </c>
      <c r="D5" s="25"/>
      <c r="E5" s="25"/>
      <c r="F5" s="25"/>
    </row>
    <row r="6" spans="1:6">
      <c r="A6" s="25"/>
      <c r="B6" s="25"/>
      <c r="C6" s="25"/>
      <c r="D6" s="25"/>
      <c r="E6" s="25"/>
      <c r="F6" s="25"/>
    </row>
    <row r="7" spans="1:6">
      <c r="A7" s="25"/>
      <c r="B7" s="25"/>
      <c r="C7" s="25"/>
      <c r="D7" s="25"/>
      <c r="E7" s="25"/>
      <c r="F7" s="25"/>
    </row>
    <row r="8" spans="1:6">
      <c r="A8" s="29" t="s">
        <v>5</v>
      </c>
      <c r="B8" s="30" t="s">
        <v>6</v>
      </c>
      <c r="C8" s="30" t="s">
        <v>7</v>
      </c>
      <c r="D8" s="30" t="s">
        <v>8</v>
      </c>
      <c r="E8" s="30" t="s">
        <v>9</v>
      </c>
      <c r="F8" s="31" t="s">
        <v>10</v>
      </c>
    </row>
    <row r="9" spans="1:6">
      <c r="A9" s="35" t="s">
        <v>211</v>
      </c>
      <c r="B9" s="36"/>
      <c r="C9" s="36"/>
      <c r="D9" s="36"/>
      <c r="E9" s="37"/>
      <c r="F9" s="38"/>
    </row>
    <row r="10" spans="1:6">
      <c r="A10" s="12" t="s">
        <v>212</v>
      </c>
      <c r="B10" s="21">
        <v>1</v>
      </c>
      <c r="C10" s="21">
        <v>180</v>
      </c>
      <c r="D10" s="21">
        <f>B10*C10</f>
        <v>180</v>
      </c>
      <c r="E10" s="20">
        <v>6</v>
      </c>
      <c r="F10" s="14" t="s">
        <v>213</v>
      </c>
    </row>
    <row r="11" spans="1:6">
      <c r="A11" s="12" t="s">
        <v>175</v>
      </c>
      <c r="B11" s="21">
        <v>1</v>
      </c>
      <c r="C11" s="21">
        <v>300</v>
      </c>
      <c r="D11" s="21">
        <f>B11*C11</f>
        <v>300</v>
      </c>
      <c r="E11" s="20">
        <v>6</v>
      </c>
      <c r="F11" s="14"/>
    </row>
    <row r="12" spans="1:6">
      <c r="A12" s="12" t="s">
        <v>67</v>
      </c>
      <c r="B12" s="21">
        <v>3</v>
      </c>
      <c r="C12" s="21">
        <v>120</v>
      </c>
      <c r="D12" s="21">
        <f>B12*C12</f>
        <v>360</v>
      </c>
      <c r="E12" s="20">
        <v>6</v>
      </c>
      <c r="F12" s="14" t="s">
        <v>78</v>
      </c>
    </row>
    <row r="13" spans="1:6">
      <c r="A13" s="12" t="s">
        <v>214</v>
      </c>
      <c r="B13" s="21">
        <v>2</v>
      </c>
      <c r="C13" s="21">
        <v>60</v>
      </c>
      <c r="D13" s="21">
        <f>B13*C13</f>
        <v>120</v>
      </c>
      <c r="E13" s="20">
        <v>6</v>
      </c>
      <c r="F13" s="14"/>
    </row>
    <row r="14" spans="1:6">
      <c r="A14" s="12"/>
      <c r="B14" s="21"/>
      <c r="C14" s="22" t="s">
        <v>21</v>
      </c>
      <c r="D14" s="22">
        <f>SUM(D10:D13)</f>
        <v>960</v>
      </c>
      <c r="E14" s="20"/>
      <c r="F14" s="14"/>
    </row>
    <row r="15" spans="1:6">
      <c r="A15" s="12"/>
      <c r="B15" s="21"/>
      <c r="C15" s="21"/>
      <c r="D15" s="21"/>
      <c r="E15" s="20"/>
      <c r="F15" s="14"/>
    </row>
    <row r="16" spans="1:6">
      <c r="A16" s="35" t="s">
        <v>215</v>
      </c>
      <c r="B16" s="39"/>
      <c r="C16" s="39"/>
      <c r="D16" s="39"/>
      <c r="E16" s="40"/>
      <c r="F16" s="38"/>
    </row>
    <row r="17" spans="1:6">
      <c r="A17" s="12" t="s">
        <v>216</v>
      </c>
      <c r="B17" s="21">
        <v>24</v>
      </c>
      <c r="C17" s="21">
        <v>190</v>
      </c>
      <c r="D17" s="21">
        <f t="shared" ref="D17:D22" si="0">B17*C17</f>
        <v>4560</v>
      </c>
      <c r="E17" s="20">
        <v>6</v>
      </c>
      <c r="F17" s="14" t="s">
        <v>217</v>
      </c>
    </row>
    <row r="18" spans="1:6">
      <c r="A18" s="12" t="s">
        <v>27</v>
      </c>
      <c r="B18" s="21">
        <v>24</v>
      </c>
      <c r="C18" s="21">
        <v>55</v>
      </c>
      <c r="D18" s="21">
        <f t="shared" si="0"/>
        <v>1320</v>
      </c>
      <c r="E18" s="20">
        <v>6</v>
      </c>
      <c r="F18" s="14"/>
    </row>
    <row r="19" spans="1:6">
      <c r="A19" s="12" t="s">
        <v>218</v>
      </c>
      <c r="B19" s="21">
        <v>4</v>
      </c>
      <c r="C19" s="21">
        <v>120</v>
      </c>
      <c r="D19" s="21">
        <f t="shared" si="0"/>
        <v>480</v>
      </c>
      <c r="E19" s="20">
        <v>6</v>
      </c>
      <c r="F19" s="14"/>
    </row>
    <row r="20" spans="1:6">
      <c r="A20" s="12" t="s">
        <v>219</v>
      </c>
      <c r="B20" s="21">
        <v>2</v>
      </c>
      <c r="C20" s="21">
        <v>160</v>
      </c>
      <c r="D20" s="21">
        <f t="shared" si="0"/>
        <v>320</v>
      </c>
      <c r="E20" s="20">
        <v>6</v>
      </c>
      <c r="F20" s="14" t="s">
        <v>220</v>
      </c>
    </row>
    <row r="21" spans="1:6">
      <c r="A21" s="12" t="s">
        <v>221</v>
      </c>
      <c r="B21" s="21">
        <v>3</v>
      </c>
      <c r="C21" s="21">
        <v>400</v>
      </c>
      <c r="D21" s="21">
        <f t="shared" si="0"/>
        <v>1200</v>
      </c>
      <c r="E21" s="20">
        <v>6</v>
      </c>
      <c r="F21" s="14"/>
    </row>
    <row r="22" spans="1:6">
      <c r="A22" s="12" t="s">
        <v>222</v>
      </c>
      <c r="B22" s="21">
        <v>1</v>
      </c>
      <c r="C22" s="21">
        <v>900</v>
      </c>
      <c r="D22" s="21">
        <f t="shared" si="0"/>
        <v>900</v>
      </c>
      <c r="E22" s="20">
        <v>6</v>
      </c>
      <c r="F22" s="14"/>
    </row>
    <row r="23" spans="1:6">
      <c r="A23" s="12"/>
      <c r="B23" s="21"/>
      <c r="C23" s="22" t="s">
        <v>21</v>
      </c>
      <c r="D23" s="22">
        <f>SUM(D17:D22)</f>
        <v>8780</v>
      </c>
      <c r="E23" s="20"/>
      <c r="F23" s="14"/>
    </row>
    <row r="24" spans="1:6">
      <c r="A24" s="12"/>
      <c r="B24" s="21"/>
      <c r="C24" s="21"/>
      <c r="D24" s="21"/>
      <c r="E24" s="20"/>
      <c r="F24" s="14"/>
    </row>
    <row r="25" spans="1:6">
      <c r="A25" s="35" t="s">
        <v>223</v>
      </c>
      <c r="B25" s="39"/>
      <c r="C25" s="39"/>
      <c r="D25" s="39"/>
      <c r="E25" s="40"/>
      <c r="F25" s="38"/>
    </row>
    <row r="26" spans="1:6">
      <c r="A26" s="12" t="s">
        <v>36</v>
      </c>
      <c r="B26" s="21">
        <v>2</v>
      </c>
      <c r="C26" s="21">
        <v>260</v>
      </c>
      <c r="D26" s="21">
        <f>B26*C26</f>
        <v>520</v>
      </c>
      <c r="E26" s="20">
        <v>6</v>
      </c>
      <c r="F26" s="14" t="s">
        <v>224</v>
      </c>
    </row>
    <row r="27" spans="1:6">
      <c r="A27" s="12" t="s">
        <v>43</v>
      </c>
      <c r="B27" s="21">
        <v>1</v>
      </c>
      <c r="C27" s="21">
        <v>130</v>
      </c>
      <c r="D27" s="21">
        <f>B27*C27</f>
        <v>130</v>
      </c>
      <c r="E27" s="20">
        <v>6</v>
      </c>
      <c r="F27" s="14"/>
    </row>
    <row r="28" spans="1:6">
      <c r="A28" s="12" t="s">
        <v>33</v>
      </c>
      <c r="B28" s="21">
        <v>1</v>
      </c>
      <c r="C28" s="21">
        <v>150</v>
      </c>
      <c r="D28" s="21">
        <f>B28*C28</f>
        <v>150</v>
      </c>
      <c r="E28" s="20">
        <v>6</v>
      </c>
      <c r="F28" s="14"/>
    </row>
    <row r="29" spans="1:6">
      <c r="A29" s="12" t="s">
        <v>34</v>
      </c>
      <c r="B29" s="21">
        <v>1</v>
      </c>
      <c r="C29" s="21">
        <v>130</v>
      </c>
      <c r="D29" s="21">
        <f>B29*C29</f>
        <v>130</v>
      </c>
      <c r="E29" s="20">
        <v>6</v>
      </c>
      <c r="F29" s="14"/>
    </row>
    <row r="30" spans="1:6">
      <c r="A30" s="12" t="s">
        <v>88</v>
      </c>
      <c r="B30" s="21">
        <v>1</v>
      </c>
      <c r="C30" s="21">
        <v>240</v>
      </c>
      <c r="D30" s="21">
        <f>B30*C30</f>
        <v>240</v>
      </c>
      <c r="E30" s="20">
        <v>6</v>
      </c>
      <c r="F30" s="14"/>
    </row>
    <row r="31" spans="1:6">
      <c r="A31" s="12"/>
      <c r="B31" s="21"/>
      <c r="C31" s="22" t="s">
        <v>21</v>
      </c>
      <c r="D31" s="22">
        <f>SUM(D26:D30)</f>
        <v>1170</v>
      </c>
      <c r="E31" s="20"/>
      <c r="F31" s="14"/>
    </row>
    <row r="32" spans="1:6">
      <c r="A32" s="12"/>
      <c r="B32" s="21"/>
      <c r="C32" s="21"/>
      <c r="D32" s="21"/>
      <c r="E32" s="20"/>
      <c r="F32" s="14"/>
    </row>
    <row r="33" spans="1:6">
      <c r="A33" s="12"/>
      <c r="B33" s="23"/>
      <c r="C33" s="15" t="s">
        <v>21</v>
      </c>
      <c r="D33" s="15">
        <f>C3</f>
        <v>10910</v>
      </c>
      <c r="E33" s="13"/>
      <c r="F33" s="14"/>
    </row>
    <row r="34" spans="1:6" ht="28">
      <c r="A34" s="12"/>
      <c r="B34" s="23"/>
      <c r="C34" s="15" t="s">
        <v>45</v>
      </c>
      <c r="D34" s="15">
        <f>C4</f>
        <v>1.47</v>
      </c>
      <c r="E34" s="13"/>
      <c r="F34" s="14"/>
    </row>
    <row r="35" spans="1:6" ht="28">
      <c r="A35" s="16"/>
      <c r="B35" s="24"/>
      <c r="C35" s="18" t="s">
        <v>46</v>
      </c>
      <c r="D35" s="18">
        <f>C5</f>
        <v>16037.699999999999</v>
      </c>
      <c r="E35" s="17"/>
      <c r="F35" s="19"/>
    </row>
  </sheetData>
  <mergeCells count="4">
    <mergeCell ref="A1:F1"/>
    <mergeCell ref="A9:F9"/>
    <mergeCell ref="A16:F16"/>
    <mergeCell ref="A25:F2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2"/>
  <sheetViews>
    <sheetView workbookViewId="0">
      <selection sqref="A1:F1"/>
    </sheetView>
  </sheetViews>
  <sheetFormatPr defaultRowHeight="14"/>
  <cols>
    <col min="1" max="1" width="31" customWidth="1"/>
    <col min="2" max="2" width="11" customWidth="1"/>
    <col min="3" max="4" width="13" customWidth="1"/>
    <col min="5" max="5" width="8" customWidth="1"/>
    <col min="6" max="6" width="42" customWidth="1"/>
  </cols>
  <sheetData>
    <row r="1" spans="1:6" ht="18">
      <c r="A1" s="34" t="s">
        <v>225</v>
      </c>
      <c r="B1" s="34"/>
      <c r="C1" s="34"/>
      <c r="D1" s="34"/>
      <c r="E1" s="34"/>
      <c r="F1" s="34"/>
    </row>
    <row r="2" spans="1:6">
      <c r="A2" s="25"/>
      <c r="B2" s="25"/>
      <c r="C2" s="25"/>
      <c r="D2" s="25"/>
      <c r="E2" s="25"/>
      <c r="F2" s="25"/>
    </row>
    <row r="3" spans="1:6" ht="42">
      <c r="A3" s="25"/>
      <c r="B3" s="26" t="s">
        <v>1</v>
      </c>
      <c r="C3" s="27">
        <f>SUM(D13,D21,D28)</f>
        <v>5715</v>
      </c>
      <c r="D3" s="26" t="s">
        <v>2</v>
      </c>
      <c r="E3" s="27">
        <f>C5</f>
        <v>8858.25</v>
      </c>
      <c r="F3" s="25"/>
    </row>
    <row r="4" spans="1:6" ht="42">
      <c r="A4" s="25"/>
      <c r="B4" s="26" t="s">
        <v>3</v>
      </c>
      <c r="C4" s="28">
        <v>1.55</v>
      </c>
      <c r="D4" s="25"/>
      <c r="E4" s="25"/>
      <c r="F4" s="25"/>
    </row>
    <row r="5" spans="1:6" ht="42">
      <c r="A5" s="25"/>
      <c r="B5" s="26" t="s">
        <v>4</v>
      </c>
      <c r="C5" s="27">
        <f>C3*C4</f>
        <v>8858.25</v>
      </c>
      <c r="D5" s="25"/>
      <c r="E5" s="25"/>
      <c r="F5" s="25"/>
    </row>
    <row r="6" spans="1:6">
      <c r="A6" s="25"/>
      <c r="B6" s="25"/>
      <c r="C6" s="25"/>
      <c r="D6" s="25"/>
      <c r="E6" s="25"/>
      <c r="F6" s="25"/>
    </row>
    <row r="7" spans="1:6">
      <c r="A7" s="25"/>
      <c r="B7" s="25"/>
      <c r="C7" s="25"/>
      <c r="D7" s="25"/>
      <c r="E7" s="25"/>
      <c r="F7" s="25"/>
    </row>
    <row r="8" spans="1:6">
      <c r="A8" s="29" t="s">
        <v>5</v>
      </c>
      <c r="B8" s="30" t="s">
        <v>6</v>
      </c>
      <c r="C8" s="30" t="s">
        <v>7</v>
      </c>
      <c r="D8" s="30" t="s">
        <v>8</v>
      </c>
      <c r="E8" s="30" t="s">
        <v>9</v>
      </c>
      <c r="F8" s="31" t="s">
        <v>10</v>
      </c>
    </row>
    <row r="9" spans="1:6">
      <c r="A9" s="35" t="s">
        <v>11</v>
      </c>
      <c r="B9" s="36"/>
      <c r="C9" s="36"/>
      <c r="D9" s="36"/>
      <c r="E9" s="37"/>
      <c r="F9" s="38"/>
    </row>
    <row r="10" spans="1:6">
      <c r="A10" s="12" t="s">
        <v>121</v>
      </c>
      <c r="B10" s="21">
        <v>1</v>
      </c>
      <c r="C10" s="21">
        <v>140</v>
      </c>
      <c r="D10" s="21">
        <f>B10*C10</f>
        <v>140</v>
      </c>
      <c r="E10" s="20">
        <v>1</v>
      </c>
      <c r="F10" s="14"/>
    </row>
    <row r="11" spans="1:6">
      <c r="A11" s="12" t="s">
        <v>90</v>
      </c>
      <c r="B11" s="21">
        <v>1</v>
      </c>
      <c r="C11" s="21">
        <v>350</v>
      </c>
      <c r="D11" s="21">
        <f>B11*C11</f>
        <v>350</v>
      </c>
      <c r="E11" s="20">
        <v>1</v>
      </c>
      <c r="F11" s="14"/>
    </row>
    <row r="12" spans="1:6">
      <c r="A12" s="12" t="s">
        <v>16</v>
      </c>
      <c r="B12" s="21">
        <v>3</v>
      </c>
      <c r="C12" s="21">
        <v>65</v>
      </c>
      <c r="D12" s="21">
        <f>B12*C12</f>
        <v>195</v>
      </c>
      <c r="E12" s="20">
        <v>1</v>
      </c>
      <c r="F12" s="14"/>
    </row>
    <row r="13" spans="1:6">
      <c r="A13" s="12"/>
      <c r="B13" s="21"/>
      <c r="C13" s="22" t="s">
        <v>21</v>
      </c>
      <c r="D13" s="22">
        <f>SUM(D10:D12)</f>
        <v>685</v>
      </c>
      <c r="E13" s="20"/>
      <c r="F13" s="14"/>
    </row>
    <row r="14" spans="1:6">
      <c r="A14" s="12"/>
      <c r="B14" s="21"/>
      <c r="C14" s="21"/>
      <c r="D14" s="21"/>
      <c r="E14" s="20"/>
      <c r="F14" s="14"/>
    </row>
    <row r="15" spans="1:6">
      <c r="A15" s="35" t="s">
        <v>226</v>
      </c>
      <c r="B15" s="39"/>
      <c r="C15" s="39"/>
      <c r="D15" s="39"/>
      <c r="E15" s="40"/>
      <c r="F15" s="38"/>
    </row>
    <row r="16" spans="1:6">
      <c r="A16" s="12" t="s">
        <v>227</v>
      </c>
      <c r="B16" s="21">
        <v>1</v>
      </c>
      <c r="C16" s="21">
        <v>1800</v>
      </c>
      <c r="D16" s="21">
        <f>B16*C16</f>
        <v>1800</v>
      </c>
      <c r="E16" s="20">
        <v>1</v>
      </c>
      <c r="F16" s="14" t="s">
        <v>228</v>
      </c>
    </row>
    <row r="17" spans="1:6">
      <c r="A17" s="12" t="s">
        <v>229</v>
      </c>
      <c r="B17" s="21">
        <v>1</v>
      </c>
      <c r="C17" s="21">
        <v>550</v>
      </c>
      <c r="D17" s="21">
        <f>B17*C17</f>
        <v>550</v>
      </c>
      <c r="E17" s="20">
        <v>1</v>
      </c>
      <c r="F17" s="14" t="s">
        <v>230</v>
      </c>
    </row>
    <row r="18" spans="1:6">
      <c r="A18" s="12" t="s">
        <v>231</v>
      </c>
      <c r="B18" s="21">
        <v>4</v>
      </c>
      <c r="C18" s="21">
        <v>120</v>
      </c>
      <c r="D18" s="21">
        <f>B18*C18</f>
        <v>480</v>
      </c>
      <c r="E18" s="20">
        <v>1</v>
      </c>
      <c r="F18" s="14"/>
    </row>
    <row r="19" spans="1:6">
      <c r="A19" s="12" t="s">
        <v>232</v>
      </c>
      <c r="B19" s="21">
        <v>8</v>
      </c>
      <c r="C19" s="21">
        <v>110</v>
      </c>
      <c r="D19" s="21">
        <f>B19*C19</f>
        <v>880</v>
      </c>
      <c r="E19" s="20">
        <v>1</v>
      </c>
      <c r="F19" s="14"/>
    </row>
    <row r="20" spans="1:6">
      <c r="A20" s="12" t="s">
        <v>233</v>
      </c>
      <c r="B20" s="21">
        <v>1</v>
      </c>
      <c r="C20" s="21">
        <v>300</v>
      </c>
      <c r="D20" s="21">
        <f>B20*C20</f>
        <v>300</v>
      </c>
      <c r="E20" s="20">
        <v>1</v>
      </c>
      <c r="F20" s="14"/>
    </row>
    <row r="21" spans="1:6">
      <c r="A21" s="12"/>
      <c r="B21" s="21"/>
      <c r="C21" s="22" t="s">
        <v>21</v>
      </c>
      <c r="D21" s="22">
        <f>SUM(D16:D20)</f>
        <v>4010</v>
      </c>
      <c r="E21" s="20"/>
      <c r="F21" s="14"/>
    </row>
    <row r="22" spans="1:6">
      <c r="A22" s="12"/>
      <c r="B22" s="21"/>
      <c r="C22" s="21"/>
      <c r="D22" s="21"/>
      <c r="E22" s="20"/>
      <c r="F22" s="14"/>
    </row>
    <row r="23" spans="1:6">
      <c r="A23" s="35" t="s">
        <v>171</v>
      </c>
      <c r="B23" s="39"/>
      <c r="C23" s="39"/>
      <c r="D23" s="39"/>
      <c r="E23" s="40"/>
      <c r="F23" s="38"/>
    </row>
    <row r="24" spans="1:6">
      <c r="A24" s="12" t="s">
        <v>85</v>
      </c>
      <c r="B24" s="21">
        <v>2</v>
      </c>
      <c r="C24" s="21">
        <v>250</v>
      </c>
      <c r="D24" s="21">
        <f>B24*C24</f>
        <v>500</v>
      </c>
      <c r="E24" s="20">
        <v>1</v>
      </c>
      <c r="F24" s="14"/>
    </row>
    <row r="25" spans="1:6">
      <c r="A25" s="12" t="s">
        <v>33</v>
      </c>
      <c r="B25" s="21">
        <v>1</v>
      </c>
      <c r="C25" s="21">
        <v>120</v>
      </c>
      <c r="D25" s="21">
        <f>B25*C25</f>
        <v>120</v>
      </c>
      <c r="E25" s="20">
        <v>1</v>
      </c>
      <c r="F25" s="14"/>
    </row>
    <row r="26" spans="1:6">
      <c r="A26" s="12" t="s">
        <v>88</v>
      </c>
      <c r="B26" s="21">
        <v>1</v>
      </c>
      <c r="C26" s="21">
        <v>220</v>
      </c>
      <c r="D26" s="21">
        <f>B26*C26</f>
        <v>220</v>
      </c>
      <c r="E26" s="20">
        <v>1</v>
      </c>
      <c r="F26" s="14"/>
    </row>
    <row r="27" spans="1:6">
      <c r="A27" s="12" t="s">
        <v>234</v>
      </c>
      <c r="B27" s="21">
        <v>1</v>
      </c>
      <c r="C27" s="21">
        <v>180</v>
      </c>
      <c r="D27" s="21">
        <f>B27*C27</f>
        <v>180</v>
      </c>
      <c r="E27" s="20">
        <v>1</v>
      </c>
      <c r="F27" s="14"/>
    </row>
    <row r="28" spans="1:6">
      <c r="A28" s="12"/>
      <c r="B28" s="21"/>
      <c r="C28" s="22" t="s">
        <v>21</v>
      </c>
      <c r="D28" s="22">
        <f>SUM(D24:D27)</f>
        <v>1020</v>
      </c>
      <c r="E28" s="20"/>
      <c r="F28" s="14"/>
    </row>
    <row r="29" spans="1:6">
      <c r="A29" s="12"/>
      <c r="B29" s="21"/>
      <c r="C29" s="21"/>
      <c r="D29" s="21"/>
      <c r="E29" s="20"/>
      <c r="F29" s="14"/>
    </row>
    <row r="30" spans="1:6">
      <c r="A30" s="12"/>
      <c r="B30" s="23"/>
      <c r="C30" s="15" t="s">
        <v>21</v>
      </c>
      <c r="D30" s="15">
        <f>C3</f>
        <v>5715</v>
      </c>
      <c r="E30" s="13"/>
      <c r="F30" s="14"/>
    </row>
    <row r="31" spans="1:6" ht="28">
      <c r="A31" s="12"/>
      <c r="B31" s="23"/>
      <c r="C31" s="15" t="s">
        <v>45</v>
      </c>
      <c r="D31" s="15">
        <f>C4</f>
        <v>1.55</v>
      </c>
      <c r="E31" s="13"/>
      <c r="F31" s="14"/>
    </row>
    <row r="32" spans="1:6" ht="28">
      <c r="A32" s="16"/>
      <c r="B32" s="24"/>
      <c r="C32" s="18" t="s">
        <v>46</v>
      </c>
      <c r="D32" s="18">
        <f>C5</f>
        <v>8858.25</v>
      </c>
      <c r="E32" s="17"/>
      <c r="F32" s="19"/>
    </row>
  </sheetData>
  <mergeCells count="4">
    <mergeCell ref="A1:F1"/>
    <mergeCell ref="A9:F9"/>
    <mergeCell ref="A15:F15"/>
    <mergeCell ref="A23:F2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5"/>
  <sheetViews>
    <sheetView workbookViewId="0">
      <selection sqref="A1:F1"/>
    </sheetView>
  </sheetViews>
  <sheetFormatPr defaultRowHeight="14"/>
  <cols>
    <col min="1" max="1" width="31" customWidth="1"/>
    <col min="2" max="2" width="11" customWidth="1"/>
    <col min="3" max="4" width="13" customWidth="1"/>
    <col min="5" max="5" width="8" customWidth="1"/>
    <col min="6" max="6" width="42" customWidth="1"/>
  </cols>
  <sheetData>
    <row r="1" spans="1:6" ht="18">
      <c r="A1" s="34" t="s">
        <v>235</v>
      </c>
      <c r="B1" s="34"/>
      <c r="C1" s="34"/>
      <c r="D1" s="34"/>
      <c r="E1" s="34"/>
      <c r="F1" s="34"/>
    </row>
    <row r="2" spans="1:6">
      <c r="A2" s="25"/>
      <c r="B2" s="25"/>
      <c r="C2" s="25"/>
      <c r="D2" s="25"/>
      <c r="E2" s="25"/>
      <c r="F2" s="25"/>
    </row>
    <row r="3" spans="1:6" ht="42">
      <c r="A3" s="25"/>
      <c r="B3" s="26" t="s">
        <v>1</v>
      </c>
      <c r="C3" s="27">
        <f>SUM(D14,D23,D31)</f>
        <v>6410</v>
      </c>
      <c r="D3" s="26" t="s">
        <v>2</v>
      </c>
      <c r="E3" s="27">
        <f>C5</f>
        <v>9038.1</v>
      </c>
      <c r="F3" s="25"/>
    </row>
    <row r="4" spans="1:6" ht="42">
      <c r="A4" s="25"/>
      <c r="B4" s="26" t="s">
        <v>3</v>
      </c>
      <c r="C4" s="28">
        <v>1.41</v>
      </c>
      <c r="D4" s="25"/>
      <c r="E4" s="25"/>
      <c r="F4" s="25"/>
    </row>
    <row r="5" spans="1:6" ht="42">
      <c r="A5" s="25"/>
      <c r="B5" s="26" t="s">
        <v>4</v>
      </c>
      <c r="C5" s="27">
        <f>C3*C4</f>
        <v>9038.1</v>
      </c>
      <c r="D5" s="25"/>
      <c r="E5" s="25"/>
      <c r="F5" s="25"/>
    </row>
    <row r="6" spans="1:6">
      <c r="A6" s="25"/>
      <c r="B6" s="25"/>
      <c r="C6" s="25"/>
      <c r="D6" s="25"/>
      <c r="E6" s="25"/>
      <c r="F6" s="25"/>
    </row>
    <row r="7" spans="1:6">
      <c r="A7" s="25"/>
      <c r="B7" s="25"/>
      <c r="C7" s="25"/>
      <c r="D7" s="25"/>
      <c r="E7" s="25"/>
      <c r="F7" s="25"/>
    </row>
    <row r="8" spans="1:6">
      <c r="A8" s="29" t="s">
        <v>5</v>
      </c>
      <c r="B8" s="30" t="s">
        <v>6</v>
      </c>
      <c r="C8" s="30" t="s">
        <v>7</v>
      </c>
      <c r="D8" s="30" t="s">
        <v>8</v>
      </c>
      <c r="E8" s="30" t="s">
        <v>9</v>
      </c>
      <c r="F8" s="31" t="s">
        <v>10</v>
      </c>
    </row>
    <row r="9" spans="1:6">
      <c r="A9" s="35" t="s">
        <v>236</v>
      </c>
      <c r="B9" s="36"/>
      <c r="C9" s="36"/>
      <c r="D9" s="36"/>
      <c r="E9" s="37"/>
      <c r="F9" s="38"/>
    </row>
    <row r="10" spans="1:6">
      <c r="A10" s="12" t="s">
        <v>121</v>
      </c>
      <c r="B10" s="21">
        <v>1</v>
      </c>
      <c r="C10" s="21">
        <v>140</v>
      </c>
      <c r="D10" s="21">
        <f>B10*C10</f>
        <v>140</v>
      </c>
      <c r="E10" s="20">
        <v>1</v>
      </c>
      <c r="F10" s="14"/>
    </row>
    <row r="11" spans="1:6">
      <c r="A11" s="12" t="s">
        <v>237</v>
      </c>
      <c r="B11" s="21">
        <v>8</v>
      </c>
      <c r="C11" s="21">
        <v>80</v>
      </c>
      <c r="D11" s="21">
        <f>B11*C11</f>
        <v>640</v>
      </c>
      <c r="E11" s="20">
        <v>1</v>
      </c>
      <c r="F11" s="14"/>
    </row>
    <row r="12" spans="1:6">
      <c r="A12" s="12" t="s">
        <v>94</v>
      </c>
      <c r="B12" s="21">
        <v>2</v>
      </c>
      <c r="C12" s="21">
        <v>60</v>
      </c>
      <c r="D12" s="21">
        <f>B12*C12</f>
        <v>120</v>
      </c>
      <c r="E12" s="20">
        <v>1</v>
      </c>
      <c r="F12" s="14"/>
    </row>
    <row r="13" spans="1:6">
      <c r="A13" s="12" t="s">
        <v>90</v>
      </c>
      <c r="B13" s="21">
        <v>1</v>
      </c>
      <c r="C13" s="21">
        <v>300</v>
      </c>
      <c r="D13" s="21">
        <f>B13*C13</f>
        <v>300</v>
      </c>
      <c r="E13" s="20">
        <v>1</v>
      </c>
      <c r="F13" s="14"/>
    </row>
    <row r="14" spans="1:6">
      <c r="A14" s="12"/>
      <c r="B14" s="21"/>
      <c r="C14" s="22" t="s">
        <v>21</v>
      </c>
      <c r="D14" s="22">
        <f>SUM(D10:D13)</f>
        <v>1200</v>
      </c>
      <c r="E14" s="20"/>
      <c r="F14" s="14"/>
    </row>
    <row r="15" spans="1:6">
      <c r="A15" s="12"/>
      <c r="B15" s="21"/>
      <c r="C15" s="21"/>
      <c r="D15" s="21"/>
      <c r="E15" s="20"/>
      <c r="F15" s="14"/>
    </row>
    <row r="16" spans="1:6">
      <c r="A16" s="35" t="s">
        <v>238</v>
      </c>
      <c r="B16" s="39"/>
      <c r="C16" s="39"/>
      <c r="D16" s="39"/>
      <c r="E16" s="40"/>
      <c r="F16" s="38"/>
    </row>
    <row r="17" spans="1:6">
      <c r="A17" s="12" t="s">
        <v>239</v>
      </c>
      <c r="B17" s="21">
        <v>1</v>
      </c>
      <c r="C17" s="21">
        <v>700</v>
      </c>
      <c r="D17" s="21">
        <f t="shared" ref="D17:D22" si="0">B17*C17</f>
        <v>700</v>
      </c>
      <c r="E17" s="20">
        <v>1</v>
      </c>
      <c r="F17" s="14"/>
    </row>
    <row r="18" spans="1:6">
      <c r="A18" s="12" t="s">
        <v>240</v>
      </c>
      <c r="B18" s="21">
        <v>1</v>
      </c>
      <c r="C18" s="21">
        <v>900</v>
      </c>
      <c r="D18" s="21">
        <f t="shared" si="0"/>
        <v>900</v>
      </c>
      <c r="E18" s="20">
        <v>1</v>
      </c>
      <c r="F18" s="14"/>
    </row>
    <row r="19" spans="1:6">
      <c r="A19" s="12" t="s">
        <v>241</v>
      </c>
      <c r="B19" s="21">
        <v>1</v>
      </c>
      <c r="C19" s="21">
        <v>800</v>
      </c>
      <c r="D19" s="21">
        <f t="shared" si="0"/>
        <v>800</v>
      </c>
      <c r="E19" s="20">
        <v>1</v>
      </c>
      <c r="F19" s="14" t="s">
        <v>242</v>
      </c>
    </row>
    <row r="20" spans="1:6">
      <c r="A20" s="12" t="s">
        <v>243</v>
      </c>
      <c r="B20" s="21">
        <v>1</v>
      </c>
      <c r="C20" s="21">
        <v>550</v>
      </c>
      <c r="D20" s="21">
        <f t="shared" si="0"/>
        <v>550</v>
      </c>
      <c r="E20" s="20">
        <v>1</v>
      </c>
      <c r="F20" s="14"/>
    </row>
    <row r="21" spans="1:6">
      <c r="A21" s="12" t="s">
        <v>244</v>
      </c>
      <c r="B21" s="21">
        <v>1</v>
      </c>
      <c r="C21" s="21">
        <v>600</v>
      </c>
      <c r="D21" s="21">
        <f t="shared" si="0"/>
        <v>600</v>
      </c>
      <c r="E21" s="20">
        <v>1</v>
      </c>
      <c r="F21" s="14"/>
    </row>
    <row r="22" spans="1:6">
      <c r="A22" s="12" t="s">
        <v>245</v>
      </c>
      <c r="B22" s="21">
        <v>1</v>
      </c>
      <c r="C22" s="21">
        <v>450</v>
      </c>
      <c r="D22" s="21">
        <f t="shared" si="0"/>
        <v>450</v>
      </c>
      <c r="E22" s="20">
        <v>1</v>
      </c>
      <c r="F22" s="14"/>
    </row>
    <row r="23" spans="1:6">
      <c r="A23" s="12"/>
      <c r="B23" s="21"/>
      <c r="C23" s="22" t="s">
        <v>21</v>
      </c>
      <c r="D23" s="22">
        <f>SUM(D17:D22)</f>
        <v>4000</v>
      </c>
      <c r="E23" s="20"/>
      <c r="F23" s="14"/>
    </row>
    <row r="24" spans="1:6">
      <c r="A24" s="12"/>
      <c r="B24" s="21"/>
      <c r="C24" s="21"/>
      <c r="D24" s="21"/>
      <c r="E24" s="20"/>
      <c r="F24" s="14"/>
    </row>
    <row r="25" spans="1:6">
      <c r="A25" s="35" t="s">
        <v>246</v>
      </c>
      <c r="B25" s="39"/>
      <c r="C25" s="39"/>
      <c r="D25" s="39"/>
      <c r="E25" s="40"/>
      <c r="F25" s="38"/>
    </row>
    <row r="26" spans="1:6">
      <c r="A26" s="12" t="s">
        <v>247</v>
      </c>
      <c r="B26" s="21">
        <v>2</v>
      </c>
      <c r="C26" s="21">
        <v>160</v>
      </c>
      <c r="D26" s="21">
        <f>B26*C26</f>
        <v>320</v>
      </c>
      <c r="E26" s="20">
        <v>1</v>
      </c>
      <c r="F26" s="14"/>
    </row>
    <row r="27" spans="1:6">
      <c r="A27" s="12" t="s">
        <v>248</v>
      </c>
      <c r="B27" s="21">
        <v>1</v>
      </c>
      <c r="C27" s="21">
        <v>250</v>
      </c>
      <c r="D27" s="21">
        <f>B27*C27</f>
        <v>250</v>
      </c>
      <c r="E27" s="20">
        <v>1</v>
      </c>
      <c r="F27" s="14"/>
    </row>
    <row r="28" spans="1:6">
      <c r="A28" s="12" t="s">
        <v>249</v>
      </c>
      <c r="B28" s="21">
        <v>1</v>
      </c>
      <c r="C28" s="21">
        <v>220</v>
      </c>
      <c r="D28" s="21">
        <f>B28*C28</f>
        <v>220</v>
      </c>
      <c r="E28" s="20">
        <v>1</v>
      </c>
      <c r="F28" s="14"/>
    </row>
    <row r="29" spans="1:6">
      <c r="A29" s="12" t="s">
        <v>250</v>
      </c>
      <c r="B29" s="21">
        <v>1</v>
      </c>
      <c r="C29" s="21">
        <v>160</v>
      </c>
      <c r="D29" s="21">
        <f>B29*C29</f>
        <v>160</v>
      </c>
      <c r="E29" s="20">
        <v>1</v>
      </c>
      <c r="F29" s="14"/>
    </row>
    <row r="30" spans="1:6">
      <c r="A30" s="12" t="s">
        <v>88</v>
      </c>
      <c r="B30" s="21">
        <v>1</v>
      </c>
      <c r="C30" s="21">
        <v>260</v>
      </c>
      <c r="D30" s="21">
        <f>B30*C30</f>
        <v>260</v>
      </c>
      <c r="E30" s="20">
        <v>1</v>
      </c>
      <c r="F30" s="14"/>
    </row>
    <row r="31" spans="1:6">
      <c r="A31" s="12"/>
      <c r="B31" s="21"/>
      <c r="C31" s="22" t="s">
        <v>21</v>
      </c>
      <c r="D31" s="22">
        <f>SUM(D26:D30)</f>
        <v>1210</v>
      </c>
      <c r="E31" s="20"/>
      <c r="F31" s="14"/>
    </row>
    <row r="32" spans="1:6">
      <c r="A32" s="12"/>
      <c r="B32" s="21"/>
      <c r="C32" s="21"/>
      <c r="D32" s="21"/>
      <c r="E32" s="20"/>
      <c r="F32" s="14"/>
    </row>
    <row r="33" spans="1:6">
      <c r="A33" s="12"/>
      <c r="B33" s="23"/>
      <c r="C33" s="15" t="s">
        <v>21</v>
      </c>
      <c r="D33" s="15">
        <f>C3</f>
        <v>6410</v>
      </c>
      <c r="E33" s="13"/>
      <c r="F33" s="14"/>
    </row>
    <row r="34" spans="1:6" ht="28">
      <c r="A34" s="12"/>
      <c r="B34" s="23"/>
      <c r="C34" s="15" t="s">
        <v>45</v>
      </c>
      <c r="D34" s="15">
        <f>C4</f>
        <v>1.41</v>
      </c>
      <c r="E34" s="13"/>
      <c r="F34" s="14"/>
    </row>
    <row r="35" spans="1:6" ht="28">
      <c r="A35" s="16"/>
      <c r="B35" s="24"/>
      <c r="C35" s="18" t="s">
        <v>46</v>
      </c>
      <c r="D35" s="18">
        <f>C5</f>
        <v>9038.1</v>
      </c>
      <c r="E35" s="17"/>
      <c r="F35" s="19"/>
    </row>
  </sheetData>
  <mergeCells count="4">
    <mergeCell ref="A1:F1"/>
    <mergeCell ref="A9:F9"/>
    <mergeCell ref="A16:F16"/>
    <mergeCell ref="A25:F2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3"/>
  <sheetViews>
    <sheetView workbookViewId="0">
      <selection sqref="A1:F1"/>
    </sheetView>
  </sheetViews>
  <sheetFormatPr defaultRowHeight="14"/>
  <cols>
    <col min="1" max="1" width="31" customWidth="1"/>
    <col min="2" max="2" width="11" customWidth="1"/>
    <col min="3" max="4" width="13" customWidth="1"/>
    <col min="5" max="5" width="8" customWidth="1"/>
    <col min="6" max="6" width="42" customWidth="1"/>
  </cols>
  <sheetData>
    <row r="1" spans="1:6" ht="18">
      <c r="A1" s="34" t="s">
        <v>251</v>
      </c>
      <c r="B1" s="34"/>
      <c r="C1" s="34"/>
      <c r="D1" s="34"/>
      <c r="E1" s="34"/>
      <c r="F1" s="34"/>
    </row>
    <row r="2" spans="1:6">
      <c r="A2" s="25"/>
      <c r="B2" s="25"/>
      <c r="C2" s="25"/>
      <c r="D2" s="25"/>
      <c r="E2" s="25"/>
      <c r="F2" s="25"/>
    </row>
    <row r="3" spans="1:6" ht="42">
      <c r="A3" s="25"/>
      <c r="B3" s="26" t="s">
        <v>1</v>
      </c>
      <c r="C3" s="27">
        <f>SUM(D14,D21,D29)</f>
        <v>5170</v>
      </c>
      <c r="D3" s="26" t="s">
        <v>2</v>
      </c>
      <c r="E3" s="27">
        <f>C5</f>
        <v>7548.2</v>
      </c>
      <c r="F3" s="25"/>
    </row>
    <row r="4" spans="1:6" ht="42">
      <c r="A4" s="25"/>
      <c r="B4" s="26" t="s">
        <v>3</v>
      </c>
      <c r="C4" s="28">
        <v>1.46</v>
      </c>
      <c r="D4" s="25"/>
      <c r="E4" s="25"/>
      <c r="F4" s="25"/>
    </row>
    <row r="5" spans="1:6" ht="42">
      <c r="A5" s="25"/>
      <c r="B5" s="26" t="s">
        <v>4</v>
      </c>
      <c r="C5" s="27">
        <f>C3*C4</f>
        <v>7548.2</v>
      </c>
      <c r="D5" s="25"/>
      <c r="E5" s="25"/>
      <c r="F5" s="25"/>
    </row>
    <row r="6" spans="1:6">
      <c r="A6" s="25"/>
      <c r="B6" s="25"/>
      <c r="C6" s="25"/>
      <c r="D6" s="25"/>
      <c r="E6" s="25"/>
      <c r="F6" s="25"/>
    </row>
    <row r="7" spans="1:6">
      <c r="A7" s="25"/>
      <c r="B7" s="25"/>
      <c r="C7" s="25"/>
      <c r="D7" s="25"/>
      <c r="E7" s="25"/>
      <c r="F7" s="25"/>
    </row>
    <row r="8" spans="1:6">
      <c r="A8" s="29" t="s">
        <v>5</v>
      </c>
      <c r="B8" s="30" t="s">
        <v>6</v>
      </c>
      <c r="C8" s="30" t="s">
        <v>7</v>
      </c>
      <c r="D8" s="30" t="s">
        <v>8</v>
      </c>
      <c r="E8" s="30" t="s">
        <v>9</v>
      </c>
      <c r="F8" s="31" t="s">
        <v>10</v>
      </c>
    </row>
    <row r="9" spans="1:6">
      <c r="A9" s="35" t="s">
        <v>252</v>
      </c>
      <c r="B9" s="36"/>
      <c r="C9" s="36"/>
      <c r="D9" s="36"/>
      <c r="E9" s="37"/>
      <c r="F9" s="38"/>
    </row>
    <row r="10" spans="1:6">
      <c r="A10" s="12" t="s">
        <v>253</v>
      </c>
      <c r="B10" s="21">
        <v>1</v>
      </c>
      <c r="C10" s="21">
        <v>1200</v>
      </c>
      <c r="D10" s="21">
        <f>B10*C10</f>
        <v>1200</v>
      </c>
      <c r="E10" s="20">
        <v>1</v>
      </c>
      <c r="F10" s="14" t="s">
        <v>254</v>
      </c>
    </row>
    <row r="11" spans="1:6">
      <c r="A11" s="12" t="s">
        <v>255</v>
      </c>
      <c r="B11" s="21">
        <v>1</v>
      </c>
      <c r="C11" s="21">
        <v>350</v>
      </c>
      <c r="D11" s="21">
        <f>B11*C11</f>
        <v>350</v>
      </c>
      <c r="E11" s="20">
        <v>1</v>
      </c>
      <c r="F11" s="14" t="s">
        <v>256</v>
      </c>
    </row>
    <row r="12" spans="1:6">
      <c r="A12" s="12" t="s">
        <v>257</v>
      </c>
      <c r="B12" s="21">
        <v>1</v>
      </c>
      <c r="C12" s="21">
        <v>300</v>
      </c>
      <c r="D12" s="21">
        <f>B12*C12</f>
        <v>300</v>
      </c>
      <c r="E12" s="20">
        <v>1</v>
      </c>
      <c r="F12" s="14"/>
    </row>
    <row r="13" spans="1:6">
      <c r="A13" s="12" t="s">
        <v>258</v>
      </c>
      <c r="B13" s="21">
        <v>12</v>
      </c>
      <c r="C13" s="21">
        <v>55</v>
      </c>
      <c r="D13" s="21">
        <f>B13*C13</f>
        <v>660</v>
      </c>
      <c r="E13" s="20">
        <v>1</v>
      </c>
      <c r="F13" s="14"/>
    </row>
    <row r="14" spans="1:6">
      <c r="A14" s="12"/>
      <c r="B14" s="21"/>
      <c r="C14" s="22" t="s">
        <v>21</v>
      </c>
      <c r="D14" s="22">
        <f>SUM(D10:D13)</f>
        <v>2510</v>
      </c>
      <c r="E14" s="20"/>
      <c r="F14" s="14"/>
    </row>
    <row r="15" spans="1:6">
      <c r="A15" s="12"/>
      <c r="B15" s="21"/>
      <c r="C15" s="21"/>
      <c r="D15" s="21"/>
      <c r="E15" s="20"/>
      <c r="F15" s="14"/>
    </row>
    <row r="16" spans="1:6">
      <c r="A16" s="35" t="s">
        <v>259</v>
      </c>
      <c r="B16" s="39"/>
      <c r="C16" s="39"/>
      <c r="D16" s="39"/>
      <c r="E16" s="40"/>
      <c r="F16" s="38"/>
    </row>
    <row r="17" spans="1:6">
      <c r="A17" s="12" t="s">
        <v>260</v>
      </c>
      <c r="B17" s="21">
        <v>1</v>
      </c>
      <c r="C17" s="21">
        <v>550</v>
      </c>
      <c r="D17" s="21">
        <f>B17*C17</f>
        <v>550</v>
      </c>
      <c r="E17" s="20">
        <v>1</v>
      </c>
      <c r="F17" s="14" t="s">
        <v>208</v>
      </c>
    </row>
    <row r="18" spans="1:6">
      <c r="A18" s="12" t="s">
        <v>261</v>
      </c>
      <c r="B18" s="21">
        <v>1</v>
      </c>
      <c r="C18" s="21">
        <v>240</v>
      </c>
      <c r="D18" s="21">
        <f>B18*C18</f>
        <v>240</v>
      </c>
      <c r="E18" s="20">
        <v>1</v>
      </c>
      <c r="F18" s="14"/>
    </row>
    <row r="19" spans="1:6">
      <c r="A19" s="12" t="s">
        <v>262</v>
      </c>
      <c r="B19" s="21">
        <v>1</v>
      </c>
      <c r="C19" s="21">
        <v>350</v>
      </c>
      <c r="D19" s="21">
        <f>B19*C19</f>
        <v>350</v>
      </c>
      <c r="E19" s="20">
        <v>1</v>
      </c>
      <c r="F19" s="14" t="s">
        <v>76</v>
      </c>
    </row>
    <row r="20" spans="1:6">
      <c r="A20" s="12" t="s">
        <v>263</v>
      </c>
      <c r="B20" s="21">
        <v>1</v>
      </c>
      <c r="C20" s="21">
        <v>180</v>
      </c>
      <c r="D20" s="21">
        <f>B20*C20</f>
        <v>180</v>
      </c>
      <c r="E20" s="20">
        <v>1</v>
      </c>
      <c r="F20" s="14"/>
    </row>
    <row r="21" spans="1:6">
      <c r="A21" s="12"/>
      <c r="B21" s="21"/>
      <c r="C21" s="22" t="s">
        <v>21</v>
      </c>
      <c r="D21" s="22">
        <f>SUM(D17:D20)</f>
        <v>1320</v>
      </c>
      <c r="E21" s="20"/>
      <c r="F21" s="14"/>
    </row>
    <row r="22" spans="1:6">
      <c r="A22" s="12"/>
      <c r="B22" s="21"/>
      <c r="C22" s="21"/>
      <c r="D22" s="21"/>
      <c r="E22" s="20"/>
      <c r="F22" s="14"/>
    </row>
    <row r="23" spans="1:6">
      <c r="A23" s="35" t="s">
        <v>171</v>
      </c>
      <c r="B23" s="39"/>
      <c r="C23" s="39"/>
      <c r="D23" s="39"/>
      <c r="E23" s="40"/>
      <c r="F23" s="38"/>
    </row>
    <row r="24" spans="1:6">
      <c r="A24" s="12" t="s">
        <v>264</v>
      </c>
      <c r="B24" s="21">
        <v>1</v>
      </c>
      <c r="C24" s="21">
        <v>260</v>
      </c>
      <c r="D24" s="21">
        <f>B24*C24</f>
        <v>260</v>
      </c>
      <c r="E24" s="20">
        <v>1</v>
      </c>
      <c r="F24" s="14"/>
    </row>
    <row r="25" spans="1:6">
      <c r="A25" s="12" t="s">
        <v>265</v>
      </c>
      <c r="B25" s="21">
        <v>1</v>
      </c>
      <c r="C25" s="21">
        <v>450</v>
      </c>
      <c r="D25" s="21">
        <f>B25*C25</f>
        <v>450</v>
      </c>
      <c r="E25" s="20">
        <v>1</v>
      </c>
      <c r="F25" s="14"/>
    </row>
    <row r="26" spans="1:6">
      <c r="A26" s="12" t="s">
        <v>266</v>
      </c>
      <c r="B26" s="21">
        <v>1</v>
      </c>
      <c r="C26" s="21">
        <v>120</v>
      </c>
      <c r="D26" s="21">
        <f>B26*C26</f>
        <v>120</v>
      </c>
      <c r="E26" s="20">
        <v>1</v>
      </c>
      <c r="F26" s="14" t="s">
        <v>242</v>
      </c>
    </row>
    <row r="27" spans="1:6">
      <c r="A27" s="12" t="s">
        <v>267</v>
      </c>
      <c r="B27" s="21">
        <v>4</v>
      </c>
      <c r="C27" s="21">
        <v>100</v>
      </c>
      <c r="D27" s="21">
        <f>B27*C27</f>
        <v>400</v>
      </c>
      <c r="E27" s="20">
        <v>1</v>
      </c>
      <c r="F27" s="14"/>
    </row>
    <row r="28" spans="1:6">
      <c r="A28" s="12" t="s">
        <v>41</v>
      </c>
      <c r="B28" s="21">
        <v>2</v>
      </c>
      <c r="C28" s="21">
        <v>55</v>
      </c>
      <c r="D28" s="21">
        <f>B28*C28</f>
        <v>110</v>
      </c>
      <c r="E28" s="20">
        <v>1</v>
      </c>
      <c r="F28" s="14"/>
    </row>
    <row r="29" spans="1:6">
      <c r="A29" s="12"/>
      <c r="B29" s="21"/>
      <c r="C29" s="22" t="s">
        <v>21</v>
      </c>
      <c r="D29" s="22">
        <f>SUM(D24:D28)</f>
        <v>1340</v>
      </c>
      <c r="E29" s="20"/>
      <c r="F29" s="14"/>
    </row>
    <row r="30" spans="1:6">
      <c r="A30" s="12"/>
      <c r="B30" s="21"/>
      <c r="C30" s="21"/>
      <c r="D30" s="21"/>
      <c r="E30" s="20"/>
      <c r="F30" s="14"/>
    </row>
    <row r="31" spans="1:6">
      <c r="A31" s="12"/>
      <c r="B31" s="23"/>
      <c r="C31" s="15" t="s">
        <v>21</v>
      </c>
      <c r="D31" s="15">
        <f>C3</f>
        <v>5170</v>
      </c>
      <c r="E31" s="13"/>
      <c r="F31" s="14"/>
    </row>
    <row r="32" spans="1:6" ht="28">
      <c r="A32" s="12"/>
      <c r="B32" s="23"/>
      <c r="C32" s="15" t="s">
        <v>45</v>
      </c>
      <c r="D32" s="15">
        <f>C4</f>
        <v>1.46</v>
      </c>
      <c r="E32" s="13"/>
      <c r="F32" s="14"/>
    </row>
    <row r="33" spans="1:6" ht="28">
      <c r="A33" s="16"/>
      <c r="B33" s="24"/>
      <c r="C33" s="18" t="s">
        <v>46</v>
      </c>
      <c r="D33" s="18">
        <f>C5</f>
        <v>7548.2</v>
      </c>
      <c r="E33" s="17"/>
      <c r="F33" s="19"/>
    </row>
  </sheetData>
  <mergeCells count="4">
    <mergeCell ref="A1:F1"/>
    <mergeCell ref="A9:F9"/>
    <mergeCell ref="A16:F16"/>
    <mergeCell ref="A23:F2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3"/>
  <sheetViews>
    <sheetView workbookViewId="0">
      <selection sqref="A1:F1"/>
    </sheetView>
  </sheetViews>
  <sheetFormatPr defaultRowHeight="14"/>
  <cols>
    <col min="1" max="1" width="31" customWidth="1"/>
    <col min="2" max="2" width="11" customWidth="1"/>
    <col min="3" max="4" width="13" customWidth="1"/>
    <col min="5" max="5" width="8" customWidth="1"/>
    <col min="6" max="6" width="42" customWidth="1"/>
  </cols>
  <sheetData>
    <row r="1" spans="1:6" ht="18">
      <c r="A1" s="34" t="s">
        <v>268</v>
      </c>
      <c r="B1" s="34"/>
      <c r="C1" s="34"/>
      <c r="D1" s="34"/>
      <c r="E1" s="34"/>
      <c r="F1" s="34"/>
    </row>
    <row r="2" spans="1:6">
      <c r="A2" s="25"/>
      <c r="B2" s="25"/>
      <c r="C2" s="25"/>
      <c r="D2" s="25"/>
      <c r="E2" s="25"/>
      <c r="F2" s="25"/>
    </row>
    <row r="3" spans="1:6" ht="42">
      <c r="A3" s="25"/>
      <c r="B3" s="26" t="s">
        <v>1</v>
      </c>
      <c r="C3" s="27">
        <f>SUM(D14,D22,D29)</f>
        <v>6530</v>
      </c>
      <c r="D3" s="26" t="s">
        <v>2</v>
      </c>
      <c r="E3" s="27">
        <f>C5</f>
        <v>10382.700000000001</v>
      </c>
      <c r="F3" s="25"/>
    </row>
    <row r="4" spans="1:6" ht="42">
      <c r="A4" s="25"/>
      <c r="B4" s="26" t="s">
        <v>3</v>
      </c>
      <c r="C4" s="28">
        <v>1.59</v>
      </c>
      <c r="D4" s="25"/>
      <c r="E4" s="25"/>
      <c r="F4" s="25"/>
    </row>
    <row r="5" spans="1:6" ht="42">
      <c r="A5" s="25"/>
      <c r="B5" s="26" t="s">
        <v>4</v>
      </c>
      <c r="C5" s="27">
        <f>C3*C4</f>
        <v>10382.700000000001</v>
      </c>
      <c r="D5" s="25"/>
      <c r="E5" s="25"/>
      <c r="F5" s="25"/>
    </row>
    <row r="6" spans="1:6">
      <c r="A6" s="25"/>
      <c r="B6" s="25"/>
      <c r="C6" s="25"/>
      <c r="D6" s="25"/>
      <c r="E6" s="25"/>
      <c r="F6" s="25"/>
    </row>
    <row r="7" spans="1:6">
      <c r="A7" s="25"/>
      <c r="B7" s="25"/>
      <c r="C7" s="25"/>
      <c r="D7" s="25"/>
      <c r="E7" s="25"/>
      <c r="F7" s="25"/>
    </row>
    <row r="8" spans="1:6">
      <c r="A8" s="29" t="s">
        <v>5</v>
      </c>
      <c r="B8" s="30" t="s">
        <v>6</v>
      </c>
      <c r="C8" s="30" t="s">
        <v>7</v>
      </c>
      <c r="D8" s="30" t="s">
        <v>8</v>
      </c>
      <c r="E8" s="30" t="s">
        <v>9</v>
      </c>
      <c r="F8" s="31" t="s">
        <v>10</v>
      </c>
    </row>
    <row r="9" spans="1:6">
      <c r="A9" s="35" t="s">
        <v>269</v>
      </c>
      <c r="B9" s="36"/>
      <c r="C9" s="36"/>
      <c r="D9" s="36"/>
      <c r="E9" s="37"/>
      <c r="F9" s="38"/>
    </row>
    <row r="10" spans="1:6">
      <c r="A10" s="12" t="s">
        <v>270</v>
      </c>
      <c r="B10" s="21">
        <v>1</v>
      </c>
      <c r="C10" s="21">
        <v>900</v>
      </c>
      <c r="D10" s="21">
        <f>B10*C10</f>
        <v>900</v>
      </c>
      <c r="E10" s="20">
        <v>1</v>
      </c>
      <c r="F10" s="14" t="s">
        <v>271</v>
      </c>
    </row>
    <row r="11" spans="1:6">
      <c r="A11" s="12" t="s">
        <v>272</v>
      </c>
      <c r="B11" s="21">
        <v>1</v>
      </c>
      <c r="C11" s="21">
        <v>450</v>
      </c>
      <c r="D11" s="21">
        <f>B11*C11</f>
        <v>450</v>
      </c>
      <c r="E11" s="20">
        <v>1</v>
      </c>
      <c r="F11" s="14"/>
    </row>
    <row r="12" spans="1:6">
      <c r="A12" s="12" t="s">
        <v>273</v>
      </c>
      <c r="B12" s="21">
        <v>1</v>
      </c>
      <c r="C12" s="21">
        <v>220</v>
      </c>
      <c r="D12" s="21">
        <f>B12*C12</f>
        <v>220</v>
      </c>
      <c r="E12" s="20">
        <v>1</v>
      </c>
      <c r="F12" s="14"/>
    </row>
    <row r="13" spans="1:6">
      <c r="A13" s="12" t="s">
        <v>250</v>
      </c>
      <c r="B13" s="21">
        <v>1</v>
      </c>
      <c r="C13" s="21">
        <v>160</v>
      </c>
      <c r="D13" s="21">
        <f>B13*C13</f>
        <v>160</v>
      </c>
      <c r="E13" s="20">
        <v>1</v>
      </c>
      <c r="F13" s="14"/>
    </row>
    <row r="14" spans="1:6">
      <c r="A14" s="12"/>
      <c r="B14" s="21"/>
      <c r="C14" s="22" t="s">
        <v>21</v>
      </c>
      <c r="D14" s="22">
        <f>SUM(D10:D13)</f>
        <v>1730</v>
      </c>
      <c r="E14" s="20"/>
      <c r="F14" s="14"/>
    </row>
    <row r="15" spans="1:6">
      <c r="A15" s="12"/>
      <c r="B15" s="21"/>
      <c r="C15" s="21"/>
      <c r="D15" s="21"/>
      <c r="E15" s="20"/>
      <c r="F15" s="14"/>
    </row>
    <row r="16" spans="1:6">
      <c r="A16" s="35" t="s">
        <v>274</v>
      </c>
      <c r="B16" s="39"/>
      <c r="C16" s="39"/>
      <c r="D16" s="39"/>
      <c r="E16" s="40"/>
      <c r="F16" s="38"/>
    </row>
    <row r="17" spans="1:6">
      <c r="A17" s="12" t="s">
        <v>275</v>
      </c>
      <c r="B17" s="21">
        <v>1</v>
      </c>
      <c r="C17" s="21">
        <v>1100</v>
      </c>
      <c r="D17" s="21">
        <f>B17*C17</f>
        <v>1100</v>
      </c>
      <c r="E17" s="20">
        <v>1</v>
      </c>
      <c r="F17" s="14"/>
    </row>
    <row r="18" spans="1:6">
      <c r="A18" s="12" t="s">
        <v>276</v>
      </c>
      <c r="B18" s="21">
        <v>1</v>
      </c>
      <c r="C18" s="21">
        <v>700</v>
      </c>
      <c r="D18" s="21">
        <f>B18*C18</f>
        <v>700</v>
      </c>
      <c r="E18" s="20">
        <v>1</v>
      </c>
      <c r="F18" s="14" t="s">
        <v>277</v>
      </c>
    </row>
    <row r="19" spans="1:6">
      <c r="A19" s="12" t="s">
        <v>278</v>
      </c>
      <c r="B19" s="21">
        <v>1</v>
      </c>
      <c r="C19" s="21">
        <v>1200</v>
      </c>
      <c r="D19" s="21">
        <f>B19*C19</f>
        <v>1200</v>
      </c>
      <c r="E19" s="20">
        <v>1</v>
      </c>
      <c r="F19" s="14" t="s">
        <v>279</v>
      </c>
    </row>
    <row r="20" spans="1:6">
      <c r="A20" s="12" t="s">
        <v>280</v>
      </c>
      <c r="B20" s="21">
        <v>1</v>
      </c>
      <c r="C20" s="21">
        <v>650</v>
      </c>
      <c r="D20" s="21">
        <f>B20*C20</f>
        <v>650</v>
      </c>
      <c r="E20" s="20">
        <v>1</v>
      </c>
      <c r="F20" s="14"/>
    </row>
    <row r="21" spans="1:6">
      <c r="A21" s="12" t="s">
        <v>281</v>
      </c>
      <c r="B21" s="21">
        <v>1</v>
      </c>
      <c r="C21" s="21">
        <v>200</v>
      </c>
      <c r="D21" s="21">
        <f>B21*C21</f>
        <v>200</v>
      </c>
      <c r="E21" s="20">
        <v>1</v>
      </c>
      <c r="F21" s="14"/>
    </row>
    <row r="22" spans="1:6">
      <c r="A22" s="12"/>
      <c r="B22" s="21"/>
      <c r="C22" s="22" t="s">
        <v>21</v>
      </c>
      <c r="D22" s="22">
        <f>SUM(D17:D21)</f>
        <v>3850</v>
      </c>
      <c r="E22" s="20"/>
      <c r="F22" s="14"/>
    </row>
    <row r="23" spans="1:6">
      <c r="A23" s="12"/>
      <c r="B23" s="21"/>
      <c r="C23" s="21"/>
      <c r="D23" s="21"/>
      <c r="E23" s="20"/>
      <c r="F23" s="14"/>
    </row>
    <row r="24" spans="1:6">
      <c r="A24" s="35" t="s">
        <v>171</v>
      </c>
      <c r="B24" s="39"/>
      <c r="C24" s="39"/>
      <c r="D24" s="39"/>
      <c r="E24" s="40"/>
      <c r="F24" s="38"/>
    </row>
    <row r="25" spans="1:6">
      <c r="A25" s="12" t="s">
        <v>234</v>
      </c>
      <c r="B25" s="21">
        <v>1</v>
      </c>
      <c r="C25" s="21">
        <v>300</v>
      </c>
      <c r="D25" s="21">
        <f>B25*C25</f>
        <v>300</v>
      </c>
      <c r="E25" s="20">
        <v>1</v>
      </c>
      <c r="F25" s="14"/>
    </row>
    <row r="26" spans="1:6">
      <c r="A26" s="12" t="s">
        <v>88</v>
      </c>
      <c r="B26" s="21">
        <v>1</v>
      </c>
      <c r="C26" s="21">
        <v>180</v>
      </c>
      <c r="D26" s="21">
        <f>B26*C26</f>
        <v>180</v>
      </c>
      <c r="E26" s="20">
        <v>1</v>
      </c>
      <c r="F26" s="14"/>
    </row>
    <row r="27" spans="1:6">
      <c r="A27" s="12" t="s">
        <v>282</v>
      </c>
      <c r="B27" s="21">
        <v>1</v>
      </c>
      <c r="C27" s="21">
        <v>120</v>
      </c>
      <c r="D27" s="21">
        <f>B27*C27</f>
        <v>120</v>
      </c>
      <c r="E27" s="20">
        <v>1</v>
      </c>
      <c r="F27" s="14"/>
    </row>
    <row r="28" spans="1:6">
      <c r="A28" s="12" t="s">
        <v>283</v>
      </c>
      <c r="B28" s="21">
        <v>1</v>
      </c>
      <c r="C28" s="21">
        <v>350</v>
      </c>
      <c r="D28" s="21">
        <f>B28*C28</f>
        <v>350</v>
      </c>
      <c r="E28" s="20">
        <v>1</v>
      </c>
      <c r="F28" s="14"/>
    </row>
    <row r="29" spans="1:6">
      <c r="A29" s="12"/>
      <c r="B29" s="21"/>
      <c r="C29" s="22" t="s">
        <v>21</v>
      </c>
      <c r="D29" s="22">
        <f>SUM(D25:D28)</f>
        <v>950</v>
      </c>
      <c r="E29" s="20"/>
      <c r="F29" s="14"/>
    </row>
    <row r="30" spans="1:6">
      <c r="A30" s="12"/>
      <c r="B30" s="21"/>
      <c r="C30" s="21"/>
      <c r="D30" s="21"/>
      <c r="E30" s="20"/>
      <c r="F30" s="14"/>
    </row>
    <row r="31" spans="1:6">
      <c r="A31" s="12"/>
      <c r="B31" s="23"/>
      <c r="C31" s="15" t="s">
        <v>21</v>
      </c>
      <c r="D31" s="15">
        <f>C3</f>
        <v>6530</v>
      </c>
      <c r="E31" s="13"/>
      <c r="F31" s="14"/>
    </row>
    <row r="32" spans="1:6" ht="28">
      <c r="A32" s="12"/>
      <c r="B32" s="23"/>
      <c r="C32" s="15" t="s">
        <v>45</v>
      </c>
      <c r="D32" s="15">
        <f>C4</f>
        <v>1.59</v>
      </c>
      <c r="E32" s="13"/>
      <c r="F32" s="14"/>
    </row>
    <row r="33" spans="1:6" ht="28">
      <c r="A33" s="16"/>
      <c r="B33" s="24"/>
      <c r="C33" s="18" t="s">
        <v>46</v>
      </c>
      <c r="D33" s="18">
        <f>C5</f>
        <v>10382.700000000001</v>
      </c>
      <c r="E33" s="17"/>
      <c r="F33" s="19"/>
    </row>
  </sheetData>
  <mergeCells count="4">
    <mergeCell ref="A1:F1"/>
    <mergeCell ref="A9:F9"/>
    <mergeCell ref="A16:F16"/>
    <mergeCell ref="A24:F2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3"/>
  <sheetViews>
    <sheetView workbookViewId="0">
      <selection sqref="A1:F1"/>
    </sheetView>
  </sheetViews>
  <sheetFormatPr defaultRowHeight="14"/>
  <cols>
    <col min="1" max="1" width="31" customWidth="1"/>
    <col min="2" max="2" width="11" customWidth="1"/>
    <col min="3" max="4" width="13" customWidth="1"/>
    <col min="5" max="5" width="8" customWidth="1"/>
    <col min="6" max="6" width="42" customWidth="1"/>
  </cols>
  <sheetData>
    <row r="1" spans="1:6" ht="18">
      <c r="A1" s="34" t="s">
        <v>284</v>
      </c>
      <c r="B1" s="34"/>
      <c r="C1" s="34"/>
      <c r="D1" s="34"/>
      <c r="E1" s="34"/>
      <c r="F1" s="34"/>
    </row>
    <row r="2" spans="1:6">
      <c r="A2" s="25"/>
      <c r="B2" s="25"/>
      <c r="C2" s="25"/>
      <c r="D2" s="25"/>
      <c r="E2" s="25"/>
      <c r="F2" s="25"/>
    </row>
    <row r="3" spans="1:6" ht="42">
      <c r="A3" s="25"/>
      <c r="B3" s="26" t="s">
        <v>1</v>
      </c>
      <c r="C3" s="27">
        <f>SUM(D14,D21,D29)</f>
        <v>14130</v>
      </c>
      <c r="D3" s="26" t="s">
        <v>2</v>
      </c>
      <c r="E3" s="27">
        <f>C5</f>
        <v>22042.799999999999</v>
      </c>
      <c r="F3" s="25"/>
    </row>
    <row r="4" spans="1:6" ht="42">
      <c r="A4" s="25"/>
      <c r="B4" s="26" t="s">
        <v>3</v>
      </c>
      <c r="C4" s="28">
        <v>1.56</v>
      </c>
      <c r="D4" s="25"/>
      <c r="E4" s="25"/>
      <c r="F4" s="25"/>
    </row>
    <row r="5" spans="1:6" ht="42">
      <c r="A5" s="25"/>
      <c r="B5" s="26" t="s">
        <v>4</v>
      </c>
      <c r="C5" s="27">
        <f>C3*C4</f>
        <v>22042.799999999999</v>
      </c>
      <c r="D5" s="25"/>
      <c r="E5" s="25"/>
      <c r="F5" s="25"/>
    </row>
    <row r="6" spans="1:6">
      <c r="A6" s="25"/>
      <c r="B6" s="25"/>
      <c r="C6" s="25"/>
      <c r="D6" s="25"/>
      <c r="E6" s="25"/>
      <c r="F6" s="25"/>
    </row>
    <row r="7" spans="1:6">
      <c r="A7" s="25"/>
      <c r="B7" s="25"/>
      <c r="C7" s="25"/>
      <c r="D7" s="25"/>
      <c r="E7" s="25"/>
      <c r="F7" s="25"/>
    </row>
    <row r="8" spans="1:6">
      <c r="A8" s="29" t="s">
        <v>5</v>
      </c>
      <c r="B8" s="30" t="s">
        <v>6</v>
      </c>
      <c r="C8" s="30" t="s">
        <v>7</v>
      </c>
      <c r="D8" s="30" t="s">
        <v>8</v>
      </c>
      <c r="E8" s="30" t="s">
        <v>9</v>
      </c>
      <c r="F8" s="31" t="s">
        <v>10</v>
      </c>
    </row>
    <row r="9" spans="1:6">
      <c r="A9" s="35" t="s">
        <v>11</v>
      </c>
      <c r="B9" s="36"/>
      <c r="C9" s="36"/>
      <c r="D9" s="36"/>
      <c r="E9" s="37"/>
      <c r="F9" s="38"/>
    </row>
    <row r="10" spans="1:6">
      <c r="A10" s="12" t="s">
        <v>285</v>
      </c>
      <c r="B10" s="21">
        <v>1</v>
      </c>
      <c r="C10" s="21">
        <v>320</v>
      </c>
      <c r="D10" s="21">
        <f>B10*C10</f>
        <v>320</v>
      </c>
      <c r="E10" s="20">
        <v>1</v>
      </c>
      <c r="F10" s="14" t="s">
        <v>286</v>
      </c>
    </row>
    <row r="11" spans="1:6">
      <c r="A11" s="12" t="s">
        <v>90</v>
      </c>
      <c r="B11" s="21">
        <v>1</v>
      </c>
      <c r="C11" s="21">
        <v>1000</v>
      </c>
      <c r="D11" s="21">
        <f>B11*C11</f>
        <v>1000</v>
      </c>
      <c r="E11" s="20">
        <v>1</v>
      </c>
      <c r="F11" s="14" t="s">
        <v>287</v>
      </c>
    </row>
    <row r="12" spans="1:6">
      <c r="A12" s="12" t="s">
        <v>16</v>
      </c>
      <c r="B12" s="21">
        <v>8</v>
      </c>
      <c r="C12" s="21">
        <v>65</v>
      </c>
      <c r="D12" s="21">
        <f>B12*C12</f>
        <v>520</v>
      </c>
      <c r="E12" s="20">
        <v>1</v>
      </c>
      <c r="F12" s="14"/>
    </row>
    <row r="13" spans="1:6">
      <c r="A13" s="12" t="s">
        <v>288</v>
      </c>
      <c r="B13" s="21">
        <v>1</v>
      </c>
      <c r="C13" s="21">
        <v>120</v>
      </c>
      <c r="D13" s="21">
        <f>B13*C13</f>
        <v>120</v>
      </c>
      <c r="E13" s="20">
        <v>1</v>
      </c>
      <c r="F13" s="14"/>
    </row>
    <row r="14" spans="1:6">
      <c r="A14" s="12"/>
      <c r="B14" s="21"/>
      <c r="C14" s="22" t="s">
        <v>21</v>
      </c>
      <c r="D14" s="22">
        <f>SUM(D10:D13)</f>
        <v>1960</v>
      </c>
      <c r="E14" s="20"/>
      <c r="F14" s="14"/>
    </row>
    <row r="15" spans="1:6">
      <c r="A15" s="12"/>
      <c r="B15" s="21"/>
      <c r="C15" s="21"/>
      <c r="D15" s="21"/>
      <c r="E15" s="20"/>
      <c r="F15" s="14"/>
    </row>
    <row r="16" spans="1:6">
      <c r="A16" s="35" t="s">
        <v>289</v>
      </c>
      <c r="B16" s="39"/>
      <c r="C16" s="39"/>
      <c r="D16" s="39"/>
      <c r="E16" s="40"/>
      <c r="F16" s="38"/>
    </row>
    <row r="17" spans="1:6">
      <c r="A17" s="12" t="s">
        <v>290</v>
      </c>
      <c r="B17" s="21">
        <v>48</v>
      </c>
      <c r="C17" s="21">
        <v>120</v>
      </c>
      <c r="D17" s="21">
        <f>B17*C17</f>
        <v>5760</v>
      </c>
      <c r="E17" s="20">
        <v>1</v>
      </c>
      <c r="F17" s="14" t="s">
        <v>291</v>
      </c>
    </row>
    <row r="18" spans="1:6">
      <c r="A18" s="12" t="s">
        <v>81</v>
      </c>
      <c r="B18" s="21">
        <v>8</v>
      </c>
      <c r="C18" s="21">
        <v>180</v>
      </c>
      <c r="D18" s="21">
        <f>B18*C18</f>
        <v>1440</v>
      </c>
      <c r="E18" s="20">
        <v>1</v>
      </c>
      <c r="F18" s="14" t="s">
        <v>292</v>
      </c>
    </row>
    <row r="19" spans="1:6">
      <c r="A19" s="12" t="s">
        <v>14</v>
      </c>
      <c r="B19" s="21">
        <v>12</v>
      </c>
      <c r="C19" s="21">
        <v>100</v>
      </c>
      <c r="D19" s="21">
        <f>B19*C19</f>
        <v>1200</v>
      </c>
      <c r="E19" s="20">
        <v>1</v>
      </c>
      <c r="F19" s="14" t="s">
        <v>293</v>
      </c>
    </row>
    <row r="20" spans="1:6">
      <c r="A20" s="12" t="s">
        <v>36</v>
      </c>
      <c r="B20" s="21">
        <v>6</v>
      </c>
      <c r="C20" s="21">
        <v>160</v>
      </c>
      <c r="D20" s="21">
        <f>B20*C20</f>
        <v>960</v>
      </c>
      <c r="E20" s="20">
        <v>1</v>
      </c>
      <c r="F20" s="14" t="s">
        <v>294</v>
      </c>
    </row>
    <row r="21" spans="1:6">
      <c r="A21" s="12"/>
      <c r="B21" s="21"/>
      <c r="C21" s="22" t="s">
        <v>21</v>
      </c>
      <c r="D21" s="22">
        <f>SUM(D17:D20)</f>
        <v>9360</v>
      </c>
      <c r="E21" s="20"/>
      <c r="F21" s="14"/>
    </row>
    <row r="22" spans="1:6">
      <c r="A22" s="12"/>
      <c r="B22" s="21"/>
      <c r="C22" s="21"/>
      <c r="D22" s="21"/>
      <c r="E22" s="20"/>
      <c r="F22" s="14"/>
    </row>
    <row r="23" spans="1:6">
      <c r="A23" s="35" t="s">
        <v>295</v>
      </c>
      <c r="B23" s="39"/>
      <c r="C23" s="39"/>
      <c r="D23" s="39"/>
      <c r="E23" s="40"/>
      <c r="F23" s="38"/>
    </row>
    <row r="24" spans="1:6">
      <c r="A24" s="12" t="s">
        <v>33</v>
      </c>
      <c r="B24" s="21">
        <v>4</v>
      </c>
      <c r="C24" s="21">
        <v>120</v>
      </c>
      <c r="D24" s="21">
        <f>B24*C24</f>
        <v>480</v>
      </c>
      <c r="E24" s="20">
        <v>1</v>
      </c>
      <c r="F24" s="14"/>
    </row>
    <row r="25" spans="1:6">
      <c r="A25" s="12" t="s">
        <v>34</v>
      </c>
      <c r="B25" s="21">
        <v>4</v>
      </c>
      <c r="C25" s="21">
        <v>110</v>
      </c>
      <c r="D25" s="21">
        <f>B25*C25</f>
        <v>440</v>
      </c>
      <c r="E25" s="20">
        <v>1</v>
      </c>
      <c r="F25" s="14"/>
    </row>
    <row r="26" spans="1:6">
      <c r="A26" s="12" t="s">
        <v>43</v>
      </c>
      <c r="B26" s="21">
        <v>3</v>
      </c>
      <c r="C26" s="21">
        <v>110</v>
      </c>
      <c r="D26" s="21">
        <f>B26*C26</f>
        <v>330</v>
      </c>
      <c r="E26" s="20">
        <v>1</v>
      </c>
      <c r="F26" s="14"/>
    </row>
    <row r="27" spans="1:6">
      <c r="A27" s="12" t="s">
        <v>38</v>
      </c>
      <c r="B27" s="21">
        <v>4</v>
      </c>
      <c r="C27" s="21">
        <v>260</v>
      </c>
      <c r="D27" s="21">
        <f>B27*C27</f>
        <v>1040</v>
      </c>
      <c r="E27" s="20">
        <v>1</v>
      </c>
      <c r="F27" s="14"/>
    </row>
    <row r="28" spans="1:6">
      <c r="A28" s="12" t="s">
        <v>85</v>
      </c>
      <c r="B28" s="21">
        <v>2</v>
      </c>
      <c r="C28" s="21">
        <v>260</v>
      </c>
      <c r="D28" s="21">
        <f>B28*C28</f>
        <v>520</v>
      </c>
      <c r="E28" s="20">
        <v>1</v>
      </c>
      <c r="F28" s="14"/>
    </row>
    <row r="29" spans="1:6">
      <c r="A29" s="12"/>
      <c r="B29" s="21"/>
      <c r="C29" s="22" t="s">
        <v>21</v>
      </c>
      <c r="D29" s="22">
        <f>SUM(D24:D28)</f>
        <v>2810</v>
      </c>
      <c r="E29" s="20"/>
      <c r="F29" s="14"/>
    </row>
    <row r="30" spans="1:6">
      <c r="A30" s="12"/>
      <c r="B30" s="21"/>
      <c r="C30" s="21"/>
      <c r="D30" s="21"/>
      <c r="E30" s="20"/>
      <c r="F30" s="14"/>
    </row>
    <row r="31" spans="1:6">
      <c r="A31" s="12"/>
      <c r="B31" s="23"/>
      <c r="C31" s="15" t="s">
        <v>21</v>
      </c>
      <c r="D31" s="15">
        <f>C3</f>
        <v>14130</v>
      </c>
      <c r="E31" s="13"/>
      <c r="F31" s="14"/>
    </row>
    <row r="32" spans="1:6" ht="28">
      <c r="A32" s="12"/>
      <c r="B32" s="23"/>
      <c r="C32" s="15" t="s">
        <v>45</v>
      </c>
      <c r="D32" s="15">
        <f>C4</f>
        <v>1.56</v>
      </c>
      <c r="E32" s="13"/>
      <c r="F32" s="14"/>
    </row>
    <row r="33" spans="1:6" ht="28">
      <c r="A33" s="16"/>
      <c r="B33" s="24"/>
      <c r="C33" s="18" t="s">
        <v>46</v>
      </c>
      <c r="D33" s="18">
        <f>C5</f>
        <v>22042.799999999999</v>
      </c>
      <c r="E33" s="17"/>
      <c r="F33" s="19"/>
    </row>
  </sheetData>
  <mergeCells count="4">
    <mergeCell ref="A1:F1"/>
    <mergeCell ref="A9:F9"/>
    <mergeCell ref="A16:F16"/>
    <mergeCell ref="A23:F2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3"/>
  <sheetViews>
    <sheetView workbookViewId="0">
      <selection sqref="A1:F1"/>
    </sheetView>
  </sheetViews>
  <sheetFormatPr defaultRowHeight="14"/>
  <cols>
    <col min="1" max="1" width="31" customWidth="1"/>
    <col min="2" max="2" width="11" customWidth="1"/>
    <col min="3" max="4" width="13" customWidth="1"/>
    <col min="5" max="5" width="8" customWidth="1"/>
    <col min="6" max="6" width="42" customWidth="1"/>
  </cols>
  <sheetData>
    <row r="1" spans="1:6" ht="18">
      <c r="A1" s="34" t="s">
        <v>296</v>
      </c>
      <c r="B1" s="34"/>
      <c r="C1" s="34"/>
      <c r="D1" s="34"/>
      <c r="E1" s="34"/>
      <c r="F1" s="34"/>
    </row>
    <row r="2" spans="1:6">
      <c r="A2" s="25"/>
      <c r="B2" s="25"/>
      <c r="C2" s="25"/>
      <c r="D2" s="25"/>
      <c r="E2" s="25"/>
      <c r="F2" s="25"/>
    </row>
    <row r="3" spans="1:6" ht="42">
      <c r="A3" s="25"/>
      <c r="B3" s="26" t="s">
        <v>1</v>
      </c>
      <c r="C3" s="27">
        <f>SUM(D15,D23,D29)</f>
        <v>12830</v>
      </c>
      <c r="D3" s="26" t="s">
        <v>2</v>
      </c>
      <c r="E3" s="27">
        <f>C5</f>
        <v>18860.099999999999</v>
      </c>
      <c r="F3" s="25"/>
    </row>
    <row r="4" spans="1:6" ht="42">
      <c r="A4" s="25"/>
      <c r="B4" s="26" t="s">
        <v>3</v>
      </c>
      <c r="C4" s="28">
        <v>1.47</v>
      </c>
      <c r="D4" s="25"/>
      <c r="E4" s="25"/>
      <c r="F4" s="25"/>
    </row>
    <row r="5" spans="1:6" ht="42">
      <c r="A5" s="25"/>
      <c r="B5" s="26" t="s">
        <v>4</v>
      </c>
      <c r="C5" s="27">
        <f>C3*C4</f>
        <v>18860.099999999999</v>
      </c>
      <c r="D5" s="25"/>
      <c r="E5" s="25"/>
      <c r="F5" s="25"/>
    </row>
    <row r="6" spans="1:6">
      <c r="A6" s="25"/>
      <c r="B6" s="25"/>
      <c r="C6" s="25"/>
      <c r="D6" s="25"/>
      <c r="E6" s="25"/>
      <c r="F6" s="25"/>
    </row>
    <row r="7" spans="1:6">
      <c r="A7" s="25"/>
      <c r="B7" s="25"/>
      <c r="C7" s="25"/>
      <c r="D7" s="25"/>
      <c r="E7" s="25"/>
      <c r="F7" s="25"/>
    </row>
    <row r="8" spans="1:6">
      <c r="A8" s="29" t="s">
        <v>5</v>
      </c>
      <c r="B8" s="30" t="s">
        <v>6</v>
      </c>
      <c r="C8" s="30" t="s">
        <v>7</v>
      </c>
      <c r="D8" s="30" t="s">
        <v>8</v>
      </c>
      <c r="E8" s="30" t="s">
        <v>9</v>
      </c>
      <c r="F8" s="31" t="s">
        <v>10</v>
      </c>
    </row>
    <row r="9" spans="1:6">
      <c r="A9" s="35" t="s">
        <v>297</v>
      </c>
      <c r="B9" s="36"/>
      <c r="C9" s="36"/>
      <c r="D9" s="36"/>
      <c r="E9" s="37"/>
      <c r="F9" s="38"/>
    </row>
    <row r="10" spans="1:6">
      <c r="A10" s="12" t="s">
        <v>298</v>
      </c>
      <c r="B10" s="21">
        <v>1</v>
      </c>
      <c r="C10" s="21">
        <v>2500</v>
      </c>
      <c r="D10" s="21">
        <f>B10*C10</f>
        <v>2500</v>
      </c>
      <c r="E10" s="20">
        <v>1</v>
      </c>
      <c r="F10" s="14" t="s">
        <v>299</v>
      </c>
    </row>
    <row r="11" spans="1:6">
      <c r="A11" s="12" t="s">
        <v>300</v>
      </c>
      <c r="B11" s="21">
        <v>1</v>
      </c>
      <c r="C11" s="21">
        <v>180</v>
      </c>
      <c r="D11" s="21">
        <f>B11*C11</f>
        <v>180</v>
      </c>
      <c r="E11" s="20">
        <v>1</v>
      </c>
      <c r="F11" s="14"/>
    </row>
    <row r="12" spans="1:6">
      <c r="A12" s="12" t="s">
        <v>301</v>
      </c>
      <c r="B12" s="21">
        <v>1</v>
      </c>
      <c r="C12" s="21">
        <v>220</v>
      </c>
      <c r="D12" s="21">
        <f>B12*C12</f>
        <v>220</v>
      </c>
      <c r="E12" s="20">
        <v>1</v>
      </c>
      <c r="F12" s="14"/>
    </row>
    <row r="13" spans="1:6">
      <c r="A13" s="12" t="s">
        <v>302</v>
      </c>
      <c r="B13" s="21">
        <v>1</v>
      </c>
      <c r="C13" s="21">
        <v>1200</v>
      </c>
      <c r="D13" s="21">
        <f>B13*C13</f>
        <v>1200</v>
      </c>
      <c r="E13" s="20">
        <v>1</v>
      </c>
      <c r="F13" s="14"/>
    </row>
    <row r="14" spans="1:6">
      <c r="A14" s="12" t="s">
        <v>303</v>
      </c>
      <c r="B14" s="21">
        <v>4</v>
      </c>
      <c r="C14" s="21">
        <v>220</v>
      </c>
      <c r="D14" s="21">
        <f>B14*C14</f>
        <v>880</v>
      </c>
      <c r="E14" s="20">
        <v>1</v>
      </c>
      <c r="F14" s="14"/>
    </row>
    <row r="15" spans="1:6">
      <c r="A15" s="12"/>
      <c r="B15" s="21"/>
      <c r="C15" s="22" t="s">
        <v>21</v>
      </c>
      <c r="D15" s="22">
        <f>SUM(D10:D14)</f>
        <v>4980</v>
      </c>
      <c r="E15" s="20"/>
      <c r="F15" s="14"/>
    </row>
    <row r="16" spans="1:6">
      <c r="A16" s="12"/>
      <c r="B16" s="21"/>
      <c r="C16" s="21"/>
      <c r="D16" s="21"/>
      <c r="E16" s="20"/>
      <c r="F16" s="14"/>
    </row>
    <row r="17" spans="1:6">
      <c r="A17" s="35" t="s">
        <v>304</v>
      </c>
      <c r="B17" s="39"/>
      <c r="C17" s="39"/>
      <c r="D17" s="39"/>
      <c r="E17" s="40"/>
      <c r="F17" s="38"/>
    </row>
    <row r="18" spans="1:6">
      <c r="A18" s="12" t="s">
        <v>305</v>
      </c>
      <c r="B18" s="21">
        <v>1</v>
      </c>
      <c r="C18" s="21">
        <v>2500</v>
      </c>
      <c r="D18" s="21">
        <f>B18*C18</f>
        <v>2500</v>
      </c>
      <c r="E18" s="20">
        <v>1</v>
      </c>
      <c r="F18" s="14" t="s">
        <v>306</v>
      </c>
    </row>
    <row r="19" spans="1:6">
      <c r="A19" s="12" t="s">
        <v>307</v>
      </c>
      <c r="B19" s="21">
        <v>1</v>
      </c>
      <c r="C19" s="21">
        <v>700</v>
      </c>
      <c r="D19" s="21">
        <f>B19*C19</f>
        <v>700</v>
      </c>
      <c r="E19" s="20">
        <v>1</v>
      </c>
      <c r="F19" s="14"/>
    </row>
    <row r="20" spans="1:6">
      <c r="A20" s="12" t="s">
        <v>308</v>
      </c>
      <c r="B20" s="21">
        <v>1</v>
      </c>
      <c r="C20" s="21">
        <v>500</v>
      </c>
      <c r="D20" s="21">
        <f>B20*C20</f>
        <v>500</v>
      </c>
      <c r="E20" s="20">
        <v>1</v>
      </c>
      <c r="F20" s="14"/>
    </row>
    <row r="21" spans="1:6">
      <c r="A21" s="12" t="s">
        <v>309</v>
      </c>
      <c r="B21" s="21">
        <v>1</v>
      </c>
      <c r="C21" s="21">
        <v>650</v>
      </c>
      <c r="D21" s="21">
        <f>B21*C21</f>
        <v>650</v>
      </c>
      <c r="E21" s="20">
        <v>1</v>
      </c>
      <c r="F21" s="14" t="s">
        <v>310</v>
      </c>
    </row>
    <row r="22" spans="1:6">
      <c r="A22" s="12" t="s">
        <v>311</v>
      </c>
      <c r="B22" s="21">
        <v>2</v>
      </c>
      <c r="C22" s="21">
        <v>600</v>
      </c>
      <c r="D22" s="21">
        <f>B22*C22</f>
        <v>1200</v>
      </c>
      <c r="E22" s="20">
        <v>1</v>
      </c>
      <c r="F22" s="14" t="s">
        <v>312</v>
      </c>
    </row>
    <row r="23" spans="1:6">
      <c r="A23" s="12"/>
      <c r="B23" s="21"/>
      <c r="C23" s="22" t="s">
        <v>21</v>
      </c>
      <c r="D23" s="22">
        <f>SUM(D18:D22)</f>
        <v>5550</v>
      </c>
      <c r="E23" s="20"/>
      <c r="F23" s="14"/>
    </row>
    <row r="24" spans="1:6">
      <c r="A24" s="12"/>
      <c r="B24" s="21"/>
      <c r="C24" s="21"/>
      <c r="D24" s="21"/>
      <c r="E24" s="20"/>
      <c r="F24" s="14"/>
    </row>
    <row r="25" spans="1:6">
      <c r="A25" s="35" t="s">
        <v>313</v>
      </c>
      <c r="B25" s="39"/>
      <c r="C25" s="39"/>
      <c r="D25" s="39"/>
      <c r="E25" s="40"/>
      <c r="F25" s="38"/>
    </row>
    <row r="26" spans="1:6">
      <c r="A26" s="12" t="s">
        <v>314</v>
      </c>
      <c r="B26" s="21">
        <v>4</v>
      </c>
      <c r="C26" s="21">
        <v>450</v>
      </c>
      <c r="D26" s="21">
        <f>B26*C26</f>
        <v>1800</v>
      </c>
      <c r="E26" s="20">
        <v>1</v>
      </c>
      <c r="F26" s="14" t="s">
        <v>315</v>
      </c>
    </row>
    <row r="27" spans="1:6">
      <c r="A27" s="12" t="s">
        <v>316</v>
      </c>
      <c r="B27" s="21">
        <v>4</v>
      </c>
      <c r="C27" s="21">
        <v>80</v>
      </c>
      <c r="D27" s="21">
        <f>B27*C27</f>
        <v>320</v>
      </c>
      <c r="E27" s="20">
        <v>1</v>
      </c>
      <c r="F27" s="14"/>
    </row>
    <row r="28" spans="1:6">
      <c r="A28" s="12" t="s">
        <v>317</v>
      </c>
      <c r="B28" s="21">
        <v>1</v>
      </c>
      <c r="C28" s="21">
        <v>180</v>
      </c>
      <c r="D28" s="21">
        <f>B28*C28</f>
        <v>180</v>
      </c>
      <c r="E28" s="20">
        <v>1</v>
      </c>
      <c r="F28" s="14"/>
    </row>
    <row r="29" spans="1:6">
      <c r="A29" s="12"/>
      <c r="B29" s="21"/>
      <c r="C29" s="22" t="s">
        <v>21</v>
      </c>
      <c r="D29" s="22">
        <f>SUM(D26:D28)</f>
        <v>2300</v>
      </c>
      <c r="E29" s="20"/>
      <c r="F29" s="14"/>
    </row>
    <row r="30" spans="1:6">
      <c r="A30" s="12"/>
      <c r="B30" s="21"/>
      <c r="C30" s="21"/>
      <c r="D30" s="21"/>
      <c r="E30" s="20"/>
      <c r="F30" s="14"/>
    </row>
    <row r="31" spans="1:6">
      <c r="A31" s="12"/>
      <c r="B31" s="23"/>
      <c r="C31" s="15" t="s">
        <v>21</v>
      </c>
      <c r="D31" s="15">
        <f>C3</f>
        <v>12830</v>
      </c>
      <c r="E31" s="13"/>
      <c r="F31" s="14"/>
    </row>
    <row r="32" spans="1:6" ht="28">
      <c r="A32" s="12"/>
      <c r="B32" s="23"/>
      <c r="C32" s="15" t="s">
        <v>45</v>
      </c>
      <c r="D32" s="15">
        <f>C4</f>
        <v>1.47</v>
      </c>
      <c r="E32" s="13"/>
      <c r="F32" s="14"/>
    </row>
    <row r="33" spans="1:6" ht="28">
      <c r="A33" s="16"/>
      <c r="B33" s="24"/>
      <c r="C33" s="18" t="s">
        <v>46</v>
      </c>
      <c r="D33" s="18">
        <f>C5</f>
        <v>18860.099999999999</v>
      </c>
      <c r="E33" s="17"/>
      <c r="F33" s="19"/>
    </row>
  </sheetData>
  <mergeCells count="4">
    <mergeCell ref="A1:F1"/>
    <mergeCell ref="A9:F9"/>
    <mergeCell ref="A17:F17"/>
    <mergeCell ref="A25:F2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7"/>
  <sheetViews>
    <sheetView workbookViewId="0">
      <selection sqref="A1:F1"/>
    </sheetView>
  </sheetViews>
  <sheetFormatPr defaultRowHeight="14"/>
  <cols>
    <col min="1" max="1" width="31" customWidth="1"/>
    <col min="2" max="2" width="11" customWidth="1"/>
    <col min="3" max="4" width="13" customWidth="1"/>
    <col min="5" max="5" width="8" customWidth="1"/>
    <col min="6" max="6" width="42" customWidth="1"/>
  </cols>
  <sheetData>
    <row r="1" spans="1:6" ht="18">
      <c r="A1" s="34" t="s">
        <v>318</v>
      </c>
      <c r="B1" s="34"/>
      <c r="C1" s="34"/>
      <c r="D1" s="34"/>
      <c r="E1" s="34"/>
      <c r="F1" s="34"/>
    </row>
    <row r="2" spans="1:6">
      <c r="A2" s="25"/>
      <c r="B2" s="25"/>
      <c r="C2" s="25"/>
      <c r="D2" s="25"/>
      <c r="E2" s="25"/>
      <c r="F2" s="25"/>
    </row>
    <row r="3" spans="1:6" ht="42">
      <c r="A3" s="25"/>
      <c r="B3" s="26" t="s">
        <v>1</v>
      </c>
      <c r="C3" s="27">
        <f>SUM(D15,D23)</f>
        <v>10470</v>
      </c>
      <c r="D3" s="26" t="s">
        <v>2</v>
      </c>
      <c r="E3" s="27">
        <f>C5</f>
        <v>16542.600000000002</v>
      </c>
      <c r="F3" s="25"/>
    </row>
    <row r="4" spans="1:6" ht="42">
      <c r="A4" s="25"/>
      <c r="B4" s="26" t="s">
        <v>3</v>
      </c>
      <c r="C4" s="28">
        <v>1.58</v>
      </c>
      <c r="D4" s="25"/>
      <c r="E4" s="25"/>
      <c r="F4" s="25"/>
    </row>
    <row r="5" spans="1:6" ht="42">
      <c r="A5" s="25"/>
      <c r="B5" s="26" t="s">
        <v>4</v>
      </c>
      <c r="C5" s="27">
        <f>C3*C4</f>
        <v>16542.600000000002</v>
      </c>
      <c r="D5" s="25"/>
      <c r="E5" s="25"/>
      <c r="F5" s="25"/>
    </row>
    <row r="6" spans="1:6">
      <c r="A6" s="25"/>
      <c r="B6" s="25"/>
      <c r="C6" s="25"/>
      <c r="D6" s="25"/>
      <c r="E6" s="25"/>
      <c r="F6" s="25"/>
    </row>
    <row r="7" spans="1:6">
      <c r="A7" s="25"/>
      <c r="B7" s="25"/>
      <c r="C7" s="25"/>
      <c r="D7" s="25"/>
      <c r="E7" s="25"/>
      <c r="F7" s="25"/>
    </row>
    <row r="8" spans="1:6">
      <c r="A8" s="29" t="s">
        <v>5</v>
      </c>
      <c r="B8" s="30" t="s">
        <v>6</v>
      </c>
      <c r="C8" s="30" t="s">
        <v>7</v>
      </c>
      <c r="D8" s="30" t="s">
        <v>8</v>
      </c>
      <c r="E8" s="30" t="s">
        <v>9</v>
      </c>
      <c r="F8" s="31" t="s">
        <v>10</v>
      </c>
    </row>
    <row r="9" spans="1:6">
      <c r="A9" s="35" t="s">
        <v>319</v>
      </c>
      <c r="B9" s="36"/>
      <c r="C9" s="36"/>
      <c r="D9" s="36"/>
      <c r="E9" s="37"/>
      <c r="F9" s="38"/>
    </row>
    <row r="10" spans="1:6">
      <c r="A10" s="12" t="s">
        <v>320</v>
      </c>
      <c r="B10" s="21">
        <v>60</v>
      </c>
      <c r="C10" s="21">
        <v>55</v>
      </c>
      <c r="D10" s="21">
        <f>B10*C10</f>
        <v>3300</v>
      </c>
      <c r="E10" s="20">
        <v>7</v>
      </c>
      <c r="F10" s="14"/>
    </row>
    <row r="11" spans="1:6">
      <c r="A11" s="12" t="s">
        <v>321</v>
      </c>
      <c r="B11" s="21">
        <v>18</v>
      </c>
      <c r="C11" s="21">
        <v>120</v>
      </c>
      <c r="D11" s="21">
        <f>B11*C11</f>
        <v>2160</v>
      </c>
      <c r="E11" s="20">
        <v>7</v>
      </c>
      <c r="F11" s="14"/>
    </row>
    <row r="12" spans="1:6">
      <c r="A12" s="12" t="s">
        <v>322</v>
      </c>
      <c r="B12" s="21">
        <v>8</v>
      </c>
      <c r="C12" s="21">
        <v>180</v>
      </c>
      <c r="D12" s="21">
        <f>B12*C12</f>
        <v>1440</v>
      </c>
      <c r="E12" s="20">
        <v>7</v>
      </c>
      <c r="F12" s="14"/>
    </row>
    <row r="13" spans="1:6">
      <c r="A13" s="12" t="s">
        <v>323</v>
      </c>
      <c r="B13" s="21">
        <v>3</v>
      </c>
      <c r="C13" s="21">
        <v>450</v>
      </c>
      <c r="D13" s="21">
        <f>B13*C13</f>
        <v>1350</v>
      </c>
      <c r="E13" s="20">
        <v>7</v>
      </c>
      <c r="F13" s="14"/>
    </row>
    <row r="14" spans="1:6">
      <c r="A14" s="12" t="s">
        <v>324</v>
      </c>
      <c r="B14" s="21">
        <v>1</v>
      </c>
      <c r="C14" s="21">
        <v>700</v>
      </c>
      <c r="D14" s="21">
        <f>B14*C14</f>
        <v>700</v>
      </c>
      <c r="E14" s="20">
        <v>7</v>
      </c>
      <c r="F14" s="14"/>
    </row>
    <row r="15" spans="1:6">
      <c r="A15" s="12"/>
      <c r="B15" s="21"/>
      <c r="C15" s="22" t="s">
        <v>21</v>
      </c>
      <c r="D15" s="22">
        <f>SUM(D10:D14)</f>
        <v>8950</v>
      </c>
      <c r="E15" s="20"/>
      <c r="F15" s="14"/>
    </row>
    <row r="16" spans="1:6">
      <c r="A16" s="12"/>
      <c r="B16" s="21"/>
      <c r="C16" s="21"/>
      <c r="D16" s="21"/>
      <c r="E16" s="20"/>
      <c r="F16" s="14"/>
    </row>
    <row r="17" spans="1:6">
      <c r="A17" s="35" t="s">
        <v>171</v>
      </c>
      <c r="B17" s="39"/>
      <c r="C17" s="39"/>
      <c r="D17" s="39"/>
      <c r="E17" s="40"/>
      <c r="F17" s="38"/>
    </row>
    <row r="18" spans="1:6">
      <c r="A18" s="12" t="s">
        <v>325</v>
      </c>
      <c r="B18" s="21">
        <v>3</v>
      </c>
      <c r="C18" s="21">
        <v>100</v>
      </c>
      <c r="D18" s="21">
        <f>B18*C18</f>
        <v>300</v>
      </c>
      <c r="E18" s="20">
        <v>7</v>
      </c>
      <c r="F18" s="14"/>
    </row>
    <row r="19" spans="1:6">
      <c r="A19" s="12" t="s">
        <v>326</v>
      </c>
      <c r="B19" s="21">
        <v>1</v>
      </c>
      <c r="C19" s="21">
        <v>400</v>
      </c>
      <c r="D19" s="21">
        <f>B19*C19</f>
        <v>400</v>
      </c>
      <c r="E19" s="20">
        <v>7</v>
      </c>
      <c r="F19" s="14"/>
    </row>
    <row r="20" spans="1:6">
      <c r="A20" s="12" t="s">
        <v>327</v>
      </c>
      <c r="B20" s="21">
        <v>2</v>
      </c>
      <c r="C20" s="21">
        <v>220</v>
      </c>
      <c r="D20" s="21">
        <f>B20*C20</f>
        <v>440</v>
      </c>
      <c r="E20" s="20">
        <v>7</v>
      </c>
      <c r="F20" s="14"/>
    </row>
    <row r="21" spans="1:6">
      <c r="A21" s="12" t="s">
        <v>328</v>
      </c>
      <c r="B21" s="21">
        <v>1</v>
      </c>
      <c r="C21" s="21">
        <v>160</v>
      </c>
      <c r="D21" s="21">
        <f>B21*C21</f>
        <v>160</v>
      </c>
      <c r="E21" s="20">
        <v>7</v>
      </c>
      <c r="F21" s="14"/>
    </row>
    <row r="22" spans="1:6">
      <c r="A22" s="12" t="s">
        <v>41</v>
      </c>
      <c r="B22" s="21">
        <v>4</v>
      </c>
      <c r="C22" s="21">
        <v>55</v>
      </c>
      <c r="D22" s="21">
        <f>B22*C22</f>
        <v>220</v>
      </c>
      <c r="E22" s="20">
        <v>7</v>
      </c>
      <c r="F22" s="14"/>
    </row>
    <row r="23" spans="1:6">
      <c r="A23" s="12"/>
      <c r="B23" s="21"/>
      <c r="C23" s="22" t="s">
        <v>21</v>
      </c>
      <c r="D23" s="22">
        <f>SUM(D18:D22)</f>
        <v>1520</v>
      </c>
      <c r="E23" s="20"/>
      <c r="F23" s="14"/>
    </row>
    <row r="24" spans="1:6">
      <c r="A24" s="12"/>
      <c r="B24" s="21"/>
      <c r="C24" s="21"/>
      <c r="D24" s="21"/>
      <c r="E24" s="20"/>
      <c r="F24" s="14"/>
    </row>
    <row r="25" spans="1:6">
      <c r="A25" s="12"/>
      <c r="B25" s="23"/>
      <c r="C25" s="15" t="s">
        <v>21</v>
      </c>
      <c r="D25" s="15">
        <f>C3</f>
        <v>10470</v>
      </c>
      <c r="E25" s="13"/>
      <c r="F25" s="14"/>
    </row>
    <row r="26" spans="1:6" ht="28">
      <c r="A26" s="12"/>
      <c r="B26" s="23"/>
      <c r="C26" s="15" t="s">
        <v>45</v>
      </c>
      <c r="D26" s="15">
        <f>C4</f>
        <v>1.58</v>
      </c>
      <c r="E26" s="13"/>
      <c r="F26" s="14"/>
    </row>
    <row r="27" spans="1:6" ht="28">
      <c r="A27" s="16"/>
      <c r="B27" s="24"/>
      <c r="C27" s="18" t="s">
        <v>46</v>
      </c>
      <c r="D27" s="18">
        <f>C5</f>
        <v>16542.600000000002</v>
      </c>
      <c r="E27" s="17"/>
      <c r="F27" s="19"/>
    </row>
  </sheetData>
  <mergeCells count="3">
    <mergeCell ref="A1:F1"/>
    <mergeCell ref="A9:F9"/>
    <mergeCell ref="A17:F1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4"/>
  <sheetViews>
    <sheetView workbookViewId="0">
      <selection sqref="A1:F1"/>
    </sheetView>
  </sheetViews>
  <sheetFormatPr defaultRowHeight="14"/>
  <cols>
    <col min="1" max="1" width="31" customWidth="1"/>
    <col min="2" max="2" width="11" customWidth="1"/>
    <col min="3" max="4" width="13" customWidth="1"/>
    <col min="5" max="5" width="8" customWidth="1"/>
    <col min="6" max="6" width="42" customWidth="1"/>
  </cols>
  <sheetData>
    <row r="1" spans="1:6" ht="18">
      <c r="A1" s="34" t="s">
        <v>329</v>
      </c>
      <c r="B1" s="34"/>
      <c r="C1" s="34"/>
      <c r="D1" s="34"/>
      <c r="E1" s="34"/>
      <c r="F1" s="34"/>
    </row>
    <row r="2" spans="1:6">
      <c r="A2" s="25"/>
      <c r="B2" s="25"/>
      <c r="C2" s="25"/>
      <c r="D2" s="25"/>
      <c r="E2" s="25"/>
      <c r="F2" s="25"/>
    </row>
    <row r="3" spans="1:6" ht="42">
      <c r="A3" s="25"/>
      <c r="B3" s="26" t="s">
        <v>1</v>
      </c>
      <c r="C3" s="27">
        <f>SUM(D15,D23,D30)</f>
        <v>10040</v>
      </c>
      <c r="D3" s="26" t="s">
        <v>2</v>
      </c>
      <c r="E3" s="27">
        <f>C5</f>
        <v>16465.599999999999</v>
      </c>
      <c r="F3" s="25"/>
    </row>
    <row r="4" spans="1:6" ht="42">
      <c r="A4" s="25"/>
      <c r="B4" s="26" t="s">
        <v>3</v>
      </c>
      <c r="C4" s="28">
        <v>1.64</v>
      </c>
      <c r="D4" s="25"/>
      <c r="E4" s="25"/>
      <c r="F4" s="25"/>
    </row>
    <row r="5" spans="1:6" ht="42">
      <c r="A5" s="25"/>
      <c r="B5" s="26" t="s">
        <v>4</v>
      </c>
      <c r="C5" s="27">
        <f>C3*C4</f>
        <v>16465.599999999999</v>
      </c>
      <c r="D5" s="25"/>
      <c r="E5" s="25"/>
      <c r="F5" s="25"/>
    </row>
    <row r="6" spans="1:6">
      <c r="A6" s="25"/>
      <c r="B6" s="25"/>
      <c r="C6" s="25"/>
      <c r="D6" s="25"/>
      <c r="E6" s="25"/>
      <c r="F6" s="25"/>
    </row>
    <row r="7" spans="1:6">
      <c r="A7" s="25"/>
      <c r="B7" s="25"/>
      <c r="C7" s="25"/>
      <c r="D7" s="25"/>
      <c r="E7" s="25"/>
      <c r="F7" s="25"/>
    </row>
    <row r="8" spans="1:6">
      <c r="A8" s="29" t="s">
        <v>5</v>
      </c>
      <c r="B8" s="30" t="s">
        <v>6</v>
      </c>
      <c r="C8" s="30" t="s">
        <v>7</v>
      </c>
      <c r="D8" s="30" t="s">
        <v>8</v>
      </c>
      <c r="E8" s="30" t="s">
        <v>9</v>
      </c>
      <c r="F8" s="31" t="s">
        <v>10</v>
      </c>
    </row>
    <row r="9" spans="1:6">
      <c r="A9" s="35" t="s">
        <v>330</v>
      </c>
      <c r="B9" s="36"/>
      <c r="C9" s="36"/>
      <c r="D9" s="36"/>
      <c r="E9" s="37"/>
      <c r="F9" s="38"/>
    </row>
    <row r="10" spans="1:6">
      <c r="A10" s="12" t="s">
        <v>331</v>
      </c>
      <c r="B10" s="21">
        <v>1</v>
      </c>
      <c r="C10" s="21">
        <v>3000</v>
      </c>
      <c r="D10" s="21">
        <f>B10*C10</f>
        <v>3000</v>
      </c>
      <c r="E10" s="20">
        <v>1</v>
      </c>
      <c r="F10" s="14" t="s">
        <v>332</v>
      </c>
    </row>
    <row r="11" spans="1:6">
      <c r="A11" s="12" t="s">
        <v>333</v>
      </c>
      <c r="B11" s="21">
        <v>1</v>
      </c>
      <c r="C11" s="21">
        <v>650</v>
      </c>
      <c r="D11" s="21">
        <f>B11*C11</f>
        <v>650</v>
      </c>
      <c r="E11" s="20">
        <v>1</v>
      </c>
      <c r="F11" s="14"/>
    </row>
    <row r="12" spans="1:6">
      <c r="A12" s="12" t="s">
        <v>334</v>
      </c>
      <c r="B12" s="21">
        <v>1</v>
      </c>
      <c r="C12" s="21">
        <v>900</v>
      </c>
      <c r="D12" s="21">
        <f>B12*C12</f>
        <v>900</v>
      </c>
      <c r="E12" s="20">
        <v>1</v>
      </c>
      <c r="F12" s="14"/>
    </row>
    <row r="13" spans="1:6">
      <c r="A13" s="12" t="s">
        <v>335</v>
      </c>
      <c r="B13" s="21">
        <v>1</v>
      </c>
      <c r="C13" s="21">
        <v>350</v>
      </c>
      <c r="D13" s="21">
        <f>B13*C13</f>
        <v>350</v>
      </c>
      <c r="E13" s="20">
        <v>1</v>
      </c>
      <c r="F13" s="14"/>
    </row>
    <row r="14" spans="1:6">
      <c r="A14" s="12" t="s">
        <v>336</v>
      </c>
      <c r="B14" s="21">
        <v>1</v>
      </c>
      <c r="C14" s="21">
        <v>900</v>
      </c>
      <c r="D14" s="21">
        <f>B14*C14</f>
        <v>900</v>
      </c>
      <c r="E14" s="20">
        <v>1</v>
      </c>
      <c r="F14" s="14"/>
    </row>
    <row r="15" spans="1:6">
      <c r="A15" s="12"/>
      <c r="B15" s="21"/>
      <c r="C15" s="22" t="s">
        <v>21</v>
      </c>
      <c r="D15" s="22">
        <f>SUM(D10:D14)</f>
        <v>5800</v>
      </c>
      <c r="E15" s="20"/>
      <c r="F15" s="14"/>
    </row>
    <row r="16" spans="1:6">
      <c r="A16" s="12"/>
      <c r="B16" s="21"/>
      <c r="C16" s="21"/>
      <c r="D16" s="21"/>
      <c r="E16" s="20"/>
      <c r="F16" s="14"/>
    </row>
    <row r="17" spans="1:6">
      <c r="A17" s="35" t="s">
        <v>337</v>
      </c>
      <c r="B17" s="39"/>
      <c r="C17" s="39"/>
      <c r="D17" s="39"/>
      <c r="E17" s="40"/>
      <c r="F17" s="38"/>
    </row>
    <row r="18" spans="1:6">
      <c r="A18" s="12" t="s">
        <v>338</v>
      </c>
      <c r="B18" s="21">
        <v>1</v>
      </c>
      <c r="C18" s="21">
        <v>900</v>
      </c>
      <c r="D18" s="21">
        <f>B18*C18</f>
        <v>900</v>
      </c>
      <c r="E18" s="20">
        <v>1</v>
      </c>
      <c r="F18" s="14"/>
    </row>
    <row r="19" spans="1:6">
      <c r="A19" s="12" t="s">
        <v>339</v>
      </c>
      <c r="B19" s="21">
        <v>3</v>
      </c>
      <c r="C19" s="21">
        <v>240</v>
      </c>
      <c r="D19" s="21">
        <f>B19*C19</f>
        <v>720</v>
      </c>
      <c r="E19" s="20">
        <v>1</v>
      </c>
      <c r="F19" s="14"/>
    </row>
    <row r="20" spans="1:6">
      <c r="A20" s="12" t="s">
        <v>340</v>
      </c>
      <c r="B20" s="21">
        <v>2</v>
      </c>
      <c r="C20" s="21">
        <v>240</v>
      </c>
      <c r="D20" s="21">
        <f>B20*C20</f>
        <v>480</v>
      </c>
      <c r="E20" s="20">
        <v>1</v>
      </c>
      <c r="F20" s="14"/>
    </row>
    <row r="21" spans="1:6">
      <c r="A21" s="12" t="s">
        <v>341</v>
      </c>
      <c r="B21" s="21">
        <v>1</v>
      </c>
      <c r="C21" s="21">
        <v>550</v>
      </c>
      <c r="D21" s="21">
        <f>B21*C21</f>
        <v>550</v>
      </c>
      <c r="E21" s="20">
        <v>1</v>
      </c>
      <c r="F21" s="14" t="s">
        <v>342</v>
      </c>
    </row>
    <row r="22" spans="1:6">
      <c r="A22" s="12" t="s">
        <v>272</v>
      </c>
      <c r="B22" s="21">
        <v>1</v>
      </c>
      <c r="C22" s="21">
        <v>350</v>
      </c>
      <c r="D22" s="21">
        <f>B22*C22</f>
        <v>350</v>
      </c>
      <c r="E22" s="20">
        <v>1</v>
      </c>
      <c r="F22" s="14"/>
    </row>
    <row r="23" spans="1:6">
      <c r="A23" s="12"/>
      <c r="B23" s="21"/>
      <c r="C23" s="22" t="s">
        <v>21</v>
      </c>
      <c r="D23" s="22">
        <f>SUM(D18:D22)</f>
        <v>3000</v>
      </c>
      <c r="E23" s="20"/>
      <c r="F23" s="14"/>
    </row>
    <row r="24" spans="1:6">
      <c r="A24" s="12"/>
      <c r="B24" s="21"/>
      <c r="C24" s="21"/>
      <c r="D24" s="21"/>
      <c r="E24" s="20"/>
      <c r="F24" s="14"/>
    </row>
    <row r="25" spans="1:6">
      <c r="A25" s="35" t="s">
        <v>35</v>
      </c>
      <c r="B25" s="39"/>
      <c r="C25" s="39"/>
      <c r="D25" s="39"/>
      <c r="E25" s="40"/>
      <c r="F25" s="38"/>
    </row>
    <row r="26" spans="1:6">
      <c r="A26" s="12" t="s">
        <v>343</v>
      </c>
      <c r="B26" s="21">
        <v>4</v>
      </c>
      <c r="C26" s="21">
        <v>100</v>
      </c>
      <c r="D26" s="21">
        <f>B26*C26</f>
        <v>400</v>
      </c>
      <c r="E26" s="20">
        <v>1</v>
      </c>
      <c r="F26" s="14"/>
    </row>
    <row r="27" spans="1:6">
      <c r="A27" s="12" t="s">
        <v>344</v>
      </c>
      <c r="B27" s="21">
        <v>3</v>
      </c>
      <c r="C27" s="21">
        <v>100</v>
      </c>
      <c r="D27" s="21">
        <f>B27*C27</f>
        <v>300</v>
      </c>
      <c r="E27" s="20">
        <v>1</v>
      </c>
      <c r="F27" s="14"/>
    </row>
    <row r="28" spans="1:6">
      <c r="A28" s="12" t="s">
        <v>234</v>
      </c>
      <c r="B28" s="21">
        <v>1</v>
      </c>
      <c r="C28" s="21">
        <v>300</v>
      </c>
      <c r="D28" s="21">
        <f>B28*C28</f>
        <v>300</v>
      </c>
      <c r="E28" s="20">
        <v>1</v>
      </c>
      <c r="F28" s="14"/>
    </row>
    <row r="29" spans="1:6">
      <c r="A29" s="12" t="s">
        <v>345</v>
      </c>
      <c r="B29" s="21">
        <v>1</v>
      </c>
      <c r="C29" s="21">
        <v>240</v>
      </c>
      <c r="D29" s="21">
        <f>B29*C29</f>
        <v>240</v>
      </c>
      <c r="E29" s="20">
        <v>1</v>
      </c>
      <c r="F29" s="14"/>
    </row>
    <row r="30" spans="1:6">
      <c r="A30" s="12"/>
      <c r="B30" s="21"/>
      <c r="C30" s="22" t="s">
        <v>21</v>
      </c>
      <c r="D30" s="22">
        <f>SUM(D26:D29)</f>
        <v>1240</v>
      </c>
      <c r="E30" s="20"/>
      <c r="F30" s="14"/>
    </row>
    <row r="31" spans="1:6">
      <c r="A31" s="12"/>
      <c r="B31" s="21"/>
      <c r="C31" s="21"/>
      <c r="D31" s="21"/>
      <c r="E31" s="20"/>
      <c r="F31" s="14"/>
    </row>
    <row r="32" spans="1:6">
      <c r="A32" s="12"/>
      <c r="B32" s="23"/>
      <c r="C32" s="15" t="s">
        <v>21</v>
      </c>
      <c r="D32" s="15">
        <f>C3</f>
        <v>10040</v>
      </c>
      <c r="E32" s="13"/>
      <c r="F32" s="14"/>
    </row>
    <row r="33" spans="1:6" ht="28">
      <c r="A33" s="12"/>
      <c r="B33" s="23"/>
      <c r="C33" s="15" t="s">
        <v>45</v>
      </c>
      <c r="D33" s="15">
        <f>C4</f>
        <v>1.64</v>
      </c>
      <c r="E33" s="13"/>
      <c r="F33" s="14"/>
    </row>
    <row r="34" spans="1:6" ht="28">
      <c r="A34" s="16"/>
      <c r="B34" s="24"/>
      <c r="C34" s="18" t="s">
        <v>46</v>
      </c>
      <c r="D34" s="18">
        <f>C5</f>
        <v>16465.599999999999</v>
      </c>
      <c r="E34" s="17"/>
      <c r="F34" s="19"/>
    </row>
  </sheetData>
  <mergeCells count="4">
    <mergeCell ref="A1:F1"/>
    <mergeCell ref="A9:F9"/>
    <mergeCell ref="A17:F17"/>
    <mergeCell ref="A25:F2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32"/>
  <sheetViews>
    <sheetView workbookViewId="0">
      <selection sqref="A1:F1"/>
    </sheetView>
  </sheetViews>
  <sheetFormatPr defaultRowHeight="14"/>
  <cols>
    <col min="1" max="1" width="31" customWidth="1"/>
    <col min="2" max="2" width="11" customWidth="1"/>
    <col min="3" max="4" width="13" customWidth="1"/>
    <col min="5" max="5" width="8" customWidth="1"/>
    <col min="6" max="6" width="42" customWidth="1"/>
  </cols>
  <sheetData>
    <row r="1" spans="1:6" ht="18">
      <c r="A1" s="34" t="s">
        <v>346</v>
      </c>
      <c r="B1" s="34"/>
      <c r="C1" s="34"/>
      <c r="D1" s="34"/>
      <c r="E1" s="34"/>
      <c r="F1" s="34"/>
    </row>
    <row r="2" spans="1:6">
      <c r="A2" s="25"/>
      <c r="B2" s="25"/>
      <c r="C2" s="25"/>
      <c r="D2" s="25"/>
      <c r="E2" s="25"/>
      <c r="F2" s="25"/>
    </row>
    <row r="3" spans="1:6" ht="42">
      <c r="A3" s="25"/>
      <c r="B3" s="26" t="s">
        <v>1</v>
      </c>
      <c r="C3" s="27">
        <f>SUM(D14,D22,D28)</f>
        <v>10910</v>
      </c>
      <c r="D3" s="26" t="s">
        <v>2</v>
      </c>
      <c r="E3" s="27">
        <f>C5</f>
        <v>15273.999999999998</v>
      </c>
      <c r="F3" s="25"/>
    </row>
    <row r="4" spans="1:6" ht="42">
      <c r="A4" s="25"/>
      <c r="B4" s="26" t="s">
        <v>3</v>
      </c>
      <c r="C4" s="28">
        <v>1.4</v>
      </c>
      <c r="D4" s="25"/>
      <c r="E4" s="25"/>
      <c r="F4" s="25"/>
    </row>
    <row r="5" spans="1:6" ht="42">
      <c r="A5" s="25"/>
      <c r="B5" s="26" t="s">
        <v>4</v>
      </c>
      <c r="C5" s="27">
        <f>C3*C4</f>
        <v>15273.999999999998</v>
      </c>
      <c r="D5" s="25"/>
      <c r="E5" s="25"/>
      <c r="F5" s="25"/>
    </row>
    <row r="6" spans="1:6">
      <c r="A6" s="25"/>
      <c r="B6" s="25"/>
      <c r="C6" s="25"/>
      <c r="D6" s="25"/>
      <c r="E6" s="25"/>
      <c r="F6" s="25"/>
    </row>
    <row r="7" spans="1:6">
      <c r="A7" s="25"/>
      <c r="B7" s="25"/>
      <c r="C7" s="25"/>
      <c r="D7" s="25"/>
      <c r="E7" s="25"/>
      <c r="F7" s="25"/>
    </row>
    <row r="8" spans="1:6">
      <c r="A8" s="29" t="s">
        <v>5</v>
      </c>
      <c r="B8" s="30" t="s">
        <v>6</v>
      </c>
      <c r="C8" s="30" t="s">
        <v>7</v>
      </c>
      <c r="D8" s="30" t="s">
        <v>8</v>
      </c>
      <c r="E8" s="30" t="s">
        <v>9</v>
      </c>
      <c r="F8" s="31" t="s">
        <v>10</v>
      </c>
    </row>
    <row r="9" spans="1:6">
      <c r="A9" s="35" t="s">
        <v>347</v>
      </c>
      <c r="B9" s="36"/>
      <c r="C9" s="36"/>
      <c r="D9" s="36"/>
      <c r="E9" s="37"/>
      <c r="F9" s="38"/>
    </row>
    <row r="10" spans="1:6">
      <c r="A10" s="12" t="s">
        <v>348</v>
      </c>
      <c r="B10" s="21">
        <v>1</v>
      </c>
      <c r="C10" s="21">
        <v>1800</v>
      </c>
      <c r="D10" s="21">
        <f>B10*C10</f>
        <v>1800</v>
      </c>
      <c r="E10" s="20">
        <v>1</v>
      </c>
      <c r="F10" s="14" t="s">
        <v>349</v>
      </c>
    </row>
    <row r="11" spans="1:6">
      <c r="A11" s="12" t="s">
        <v>350</v>
      </c>
      <c r="B11" s="21">
        <v>1</v>
      </c>
      <c r="C11" s="21">
        <v>1200</v>
      </c>
      <c r="D11" s="21">
        <f>B11*C11</f>
        <v>1200</v>
      </c>
      <c r="E11" s="20">
        <v>1</v>
      </c>
      <c r="F11" s="14"/>
    </row>
    <row r="12" spans="1:6">
      <c r="A12" s="12" t="s">
        <v>351</v>
      </c>
      <c r="B12" s="21">
        <v>1</v>
      </c>
      <c r="C12" s="21">
        <v>120</v>
      </c>
      <c r="D12" s="21">
        <f>B12*C12</f>
        <v>120</v>
      </c>
      <c r="E12" s="20">
        <v>1</v>
      </c>
      <c r="F12" s="14"/>
    </row>
    <row r="13" spans="1:6">
      <c r="A13" s="12" t="s">
        <v>352</v>
      </c>
      <c r="B13" s="21">
        <v>1</v>
      </c>
      <c r="C13" s="21">
        <v>600</v>
      </c>
      <c r="D13" s="21">
        <f>B13*C13</f>
        <v>600</v>
      </c>
      <c r="E13" s="20">
        <v>1</v>
      </c>
      <c r="F13" s="14"/>
    </row>
    <row r="14" spans="1:6">
      <c r="A14" s="12"/>
      <c r="B14" s="21"/>
      <c r="C14" s="22" t="s">
        <v>21</v>
      </c>
      <c r="D14" s="22">
        <f>SUM(D10:D13)</f>
        <v>3720</v>
      </c>
      <c r="E14" s="20"/>
      <c r="F14" s="14"/>
    </row>
    <row r="15" spans="1:6">
      <c r="A15" s="12"/>
      <c r="B15" s="21"/>
      <c r="C15" s="21"/>
      <c r="D15" s="21"/>
      <c r="E15" s="20"/>
      <c r="F15" s="14"/>
    </row>
    <row r="16" spans="1:6">
      <c r="A16" s="35" t="s">
        <v>353</v>
      </c>
      <c r="B16" s="39"/>
      <c r="C16" s="39"/>
      <c r="D16" s="39"/>
      <c r="E16" s="40"/>
      <c r="F16" s="38"/>
    </row>
    <row r="17" spans="1:6">
      <c r="A17" s="12" t="s">
        <v>354</v>
      </c>
      <c r="B17" s="21">
        <v>1</v>
      </c>
      <c r="C17" s="21">
        <v>3500</v>
      </c>
      <c r="D17" s="21">
        <f>B17*C17</f>
        <v>3500</v>
      </c>
      <c r="E17" s="20">
        <v>1</v>
      </c>
      <c r="F17" s="14" t="s">
        <v>355</v>
      </c>
    </row>
    <row r="18" spans="1:6">
      <c r="A18" s="12" t="s">
        <v>356</v>
      </c>
      <c r="B18" s="21">
        <v>1</v>
      </c>
      <c r="C18" s="21">
        <v>900</v>
      </c>
      <c r="D18" s="21">
        <f>B18*C18</f>
        <v>900</v>
      </c>
      <c r="E18" s="20">
        <v>1</v>
      </c>
      <c r="F18" s="14"/>
    </row>
    <row r="19" spans="1:6">
      <c r="A19" s="12" t="s">
        <v>357</v>
      </c>
      <c r="B19" s="21">
        <v>1</v>
      </c>
      <c r="C19" s="21">
        <v>350</v>
      </c>
      <c r="D19" s="21">
        <f>B19*C19</f>
        <v>350</v>
      </c>
      <c r="E19" s="20">
        <v>1</v>
      </c>
      <c r="F19" s="14" t="s">
        <v>358</v>
      </c>
    </row>
    <row r="20" spans="1:6">
      <c r="A20" s="12" t="s">
        <v>359</v>
      </c>
      <c r="B20" s="21">
        <v>1</v>
      </c>
      <c r="C20" s="21">
        <v>1200</v>
      </c>
      <c r="D20" s="21">
        <f>B20*C20</f>
        <v>1200</v>
      </c>
      <c r="E20" s="20">
        <v>1</v>
      </c>
      <c r="F20" s="14" t="s">
        <v>360</v>
      </c>
    </row>
    <row r="21" spans="1:6">
      <c r="A21" s="12" t="s">
        <v>361</v>
      </c>
      <c r="B21" s="21">
        <v>1</v>
      </c>
      <c r="C21" s="21">
        <v>220</v>
      </c>
      <c r="D21" s="21">
        <f>B21*C21</f>
        <v>220</v>
      </c>
      <c r="E21" s="20">
        <v>1</v>
      </c>
      <c r="F21" s="14"/>
    </row>
    <row r="22" spans="1:6">
      <c r="A22" s="12"/>
      <c r="B22" s="21"/>
      <c r="C22" s="22" t="s">
        <v>21</v>
      </c>
      <c r="D22" s="22">
        <f>SUM(D17:D21)</f>
        <v>6170</v>
      </c>
      <c r="E22" s="20"/>
      <c r="F22" s="14"/>
    </row>
    <row r="23" spans="1:6">
      <c r="A23" s="12"/>
      <c r="B23" s="21"/>
      <c r="C23" s="21"/>
      <c r="D23" s="21"/>
      <c r="E23" s="20"/>
      <c r="F23" s="14"/>
    </row>
    <row r="24" spans="1:6">
      <c r="A24" s="35" t="s">
        <v>171</v>
      </c>
      <c r="B24" s="39"/>
      <c r="C24" s="39"/>
      <c r="D24" s="39"/>
      <c r="E24" s="40"/>
      <c r="F24" s="38"/>
    </row>
    <row r="25" spans="1:6">
      <c r="A25" s="12" t="s">
        <v>362</v>
      </c>
      <c r="B25" s="21">
        <v>4</v>
      </c>
      <c r="C25" s="21">
        <v>100</v>
      </c>
      <c r="D25" s="21">
        <f>B25*C25</f>
        <v>400</v>
      </c>
      <c r="E25" s="20">
        <v>1</v>
      </c>
      <c r="F25" s="14"/>
    </row>
    <row r="26" spans="1:6">
      <c r="A26" s="12" t="s">
        <v>234</v>
      </c>
      <c r="B26" s="21">
        <v>1</v>
      </c>
      <c r="C26" s="21">
        <v>220</v>
      </c>
      <c r="D26" s="21">
        <f>B26*C26</f>
        <v>220</v>
      </c>
      <c r="E26" s="20">
        <v>1</v>
      </c>
      <c r="F26" s="14"/>
    </row>
    <row r="27" spans="1:6">
      <c r="A27" s="12" t="s">
        <v>250</v>
      </c>
      <c r="B27" s="21">
        <v>1</v>
      </c>
      <c r="C27" s="21">
        <v>400</v>
      </c>
      <c r="D27" s="21">
        <f>B27*C27</f>
        <v>400</v>
      </c>
      <c r="E27" s="20">
        <v>1</v>
      </c>
      <c r="F27" s="14"/>
    </row>
    <row r="28" spans="1:6">
      <c r="A28" s="12"/>
      <c r="B28" s="21"/>
      <c r="C28" s="22" t="s">
        <v>21</v>
      </c>
      <c r="D28" s="22">
        <f>SUM(D25:D27)</f>
        <v>1020</v>
      </c>
      <c r="E28" s="20"/>
      <c r="F28" s="14"/>
    </row>
    <row r="29" spans="1:6">
      <c r="A29" s="12"/>
      <c r="B29" s="21"/>
      <c r="C29" s="21"/>
      <c r="D29" s="21"/>
      <c r="E29" s="20"/>
      <c r="F29" s="14"/>
    </row>
    <row r="30" spans="1:6">
      <c r="A30" s="12"/>
      <c r="B30" s="23"/>
      <c r="C30" s="15" t="s">
        <v>21</v>
      </c>
      <c r="D30" s="15">
        <f>C3</f>
        <v>10910</v>
      </c>
      <c r="E30" s="13"/>
      <c r="F30" s="14"/>
    </row>
    <row r="31" spans="1:6" ht="28">
      <c r="A31" s="12"/>
      <c r="B31" s="23"/>
      <c r="C31" s="15" t="s">
        <v>45</v>
      </c>
      <c r="D31" s="15">
        <f>C4</f>
        <v>1.4</v>
      </c>
      <c r="E31" s="13"/>
      <c r="F31" s="14"/>
    </row>
    <row r="32" spans="1:6" ht="28">
      <c r="A32" s="16"/>
      <c r="B32" s="24"/>
      <c r="C32" s="18" t="s">
        <v>46</v>
      </c>
      <c r="D32" s="18">
        <f>C5</f>
        <v>15273.999999999998</v>
      </c>
      <c r="E32" s="17"/>
      <c r="F32" s="19"/>
    </row>
  </sheetData>
  <mergeCells count="4">
    <mergeCell ref="A1:F1"/>
    <mergeCell ref="A9:F9"/>
    <mergeCell ref="A16:F16"/>
    <mergeCell ref="A24:F2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31"/>
  <sheetViews>
    <sheetView workbookViewId="0">
      <selection sqref="A1:F1"/>
    </sheetView>
  </sheetViews>
  <sheetFormatPr defaultRowHeight="14"/>
  <cols>
    <col min="1" max="1" width="31" customWidth="1"/>
    <col min="2" max="2" width="11" customWidth="1"/>
    <col min="3" max="4" width="13" customWidth="1"/>
    <col min="5" max="5" width="8" customWidth="1"/>
    <col min="6" max="6" width="42" customWidth="1"/>
  </cols>
  <sheetData>
    <row r="1" spans="1:6" ht="18">
      <c r="A1" s="34" t="s">
        <v>363</v>
      </c>
      <c r="B1" s="34"/>
      <c r="C1" s="34"/>
      <c r="D1" s="34"/>
      <c r="E1" s="34"/>
      <c r="F1" s="34"/>
    </row>
    <row r="2" spans="1:6">
      <c r="A2" s="25"/>
      <c r="B2" s="25"/>
      <c r="C2" s="25"/>
      <c r="D2" s="25"/>
      <c r="E2" s="25"/>
      <c r="F2" s="25"/>
    </row>
    <row r="3" spans="1:6" ht="42">
      <c r="A3" s="25"/>
      <c r="B3" s="26" t="s">
        <v>1</v>
      </c>
      <c r="C3" s="27">
        <f>SUM(D14,D21,D27)</f>
        <v>5890</v>
      </c>
      <c r="D3" s="26" t="s">
        <v>2</v>
      </c>
      <c r="E3" s="27">
        <f>C5</f>
        <v>9659.5999999999985</v>
      </c>
      <c r="F3" s="25"/>
    </row>
    <row r="4" spans="1:6" ht="42">
      <c r="A4" s="25"/>
      <c r="B4" s="26" t="s">
        <v>3</v>
      </c>
      <c r="C4" s="28">
        <v>1.64</v>
      </c>
      <c r="D4" s="25"/>
      <c r="E4" s="25"/>
      <c r="F4" s="25"/>
    </row>
    <row r="5" spans="1:6" ht="42">
      <c r="A5" s="25"/>
      <c r="B5" s="26" t="s">
        <v>4</v>
      </c>
      <c r="C5" s="27">
        <f>C3*C4</f>
        <v>9659.5999999999985</v>
      </c>
      <c r="D5" s="25"/>
      <c r="E5" s="25"/>
      <c r="F5" s="25"/>
    </row>
    <row r="6" spans="1:6">
      <c r="A6" s="25"/>
      <c r="B6" s="25"/>
      <c r="C6" s="25"/>
      <c r="D6" s="25"/>
      <c r="E6" s="25"/>
      <c r="F6" s="25"/>
    </row>
    <row r="7" spans="1:6">
      <c r="A7" s="25"/>
      <c r="B7" s="25"/>
      <c r="C7" s="25"/>
      <c r="D7" s="25"/>
      <c r="E7" s="25"/>
      <c r="F7" s="25"/>
    </row>
    <row r="8" spans="1:6">
      <c r="A8" s="29" t="s">
        <v>5</v>
      </c>
      <c r="B8" s="30" t="s">
        <v>6</v>
      </c>
      <c r="C8" s="30" t="s">
        <v>7</v>
      </c>
      <c r="D8" s="30" t="s">
        <v>8</v>
      </c>
      <c r="E8" s="30" t="s">
        <v>9</v>
      </c>
      <c r="F8" s="31" t="s">
        <v>10</v>
      </c>
    </row>
    <row r="9" spans="1:6">
      <c r="A9" s="35" t="s">
        <v>364</v>
      </c>
      <c r="B9" s="36"/>
      <c r="C9" s="36"/>
      <c r="D9" s="36"/>
      <c r="E9" s="37"/>
      <c r="F9" s="38"/>
    </row>
    <row r="10" spans="1:6">
      <c r="A10" s="12" t="s">
        <v>365</v>
      </c>
      <c r="B10" s="21">
        <v>1</v>
      </c>
      <c r="C10" s="21">
        <v>180</v>
      </c>
      <c r="D10" s="21">
        <f>B10*C10</f>
        <v>180</v>
      </c>
      <c r="E10" s="20">
        <v>1</v>
      </c>
      <c r="F10" s="14"/>
    </row>
    <row r="11" spans="1:6">
      <c r="A11" s="12" t="s">
        <v>366</v>
      </c>
      <c r="B11" s="21">
        <v>24</v>
      </c>
      <c r="C11" s="21">
        <v>45</v>
      </c>
      <c r="D11" s="21">
        <f>B11*C11</f>
        <v>1080</v>
      </c>
      <c r="E11" s="20">
        <v>1</v>
      </c>
      <c r="F11" s="14" t="s">
        <v>367</v>
      </c>
    </row>
    <row r="12" spans="1:6">
      <c r="A12" s="12" t="s">
        <v>368</v>
      </c>
      <c r="B12" s="21">
        <v>8</v>
      </c>
      <c r="C12" s="21">
        <v>120</v>
      </c>
      <c r="D12" s="21">
        <f>B12*C12</f>
        <v>960</v>
      </c>
      <c r="E12" s="20">
        <v>1</v>
      </c>
      <c r="F12" s="14" t="s">
        <v>58</v>
      </c>
    </row>
    <row r="13" spans="1:6">
      <c r="A13" s="12" t="s">
        <v>369</v>
      </c>
      <c r="B13" s="21">
        <v>8</v>
      </c>
      <c r="C13" s="21">
        <v>100</v>
      </c>
      <c r="D13" s="21">
        <f>B13*C13</f>
        <v>800</v>
      </c>
      <c r="E13" s="20">
        <v>1</v>
      </c>
      <c r="F13" s="14" t="s">
        <v>58</v>
      </c>
    </row>
    <row r="14" spans="1:6">
      <c r="A14" s="12"/>
      <c r="B14" s="21"/>
      <c r="C14" s="22" t="s">
        <v>21</v>
      </c>
      <c r="D14" s="22">
        <f>SUM(D10:D13)</f>
        <v>3020</v>
      </c>
      <c r="E14" s="20"/>
      <c r="F14" s="14"/>
    </row>
    <row r="15" spans="1:6">
      <c r="A15" s="12"/>
      <c r="B15" s="21"/>
      <c r="C15" s="21"/>
      <c r="D15" s="21"/>
      <c r="E15" s="20"/>
      <c r="F15" s="14"/>
    </row>
    <row r="16" spans="1:6">
      <c r="A16" s="35" t="s">
        <v>370</v>
      </c>
      <c r="B16" s="39"/>
      <c r="C16" s="39"/>
      <c r="D16" s="39"/>
      <c r="E16" s="40"/>
      <c r="F16" s="38"/>
    </row>
    <row r="17" spans="1:6">
      <c r="A17" s="12" t="s">
        <v>371</v>
      </c>
      <c r="B17" s="21">
        <v>1</v>
      </c>
      <c r="C17" s="21">
        <v>550</v>
      </c>
      <c r="D17" s="21">
        <f>B17*C17</f>
        <v>550</v>
      </c>
      <c r="E17" s="20">
        <v>1</v>
      </c>
      <c r="F17" s="14"/>
    </row>
    <row r="18" spans="1:6">
      <c r="A18" s="12" t="s">
        <v>372</v>
      </c>
      <c r="B18" s="21">
        <v>1</v>
      </c>
      <c r="C18" s="21">
        <v>350</v>
      </c>
      <c r="D18" s="21">
        <f>B18*C18</f>
        <v>350</v>
      </c>
      <c r="E18" s="20">
        <v>1</v>
      </c>
      <c r="F18" s="14" t="s">
        <v>242</v>
      </c>
    </row>
    <row r="19" spans="1:6">
      <c r="A19" s="12" t="s">
        <v>373</v>
      </c>
      <c r="B19" s="21">
        <v>1</v>
      </c>
      <c r="C19" s="21">
        <v>300</v>
      </c>
      <c r="D19" s="21">
        <f>B19*C19</f>
        <v>300</v>
      </c>
      <c r="E19" s="20">
        <v>1</v>
      </c>
      <c r="F19" s="14"/>
    </row>
    <row r="20" spans="1:6">
      <c r="A20" s="12" t="s">
        <v>374</v>
      </c>
      <c r="B20" s="21">
        <v>1</v>
      </c>
      <c r="C20" s="21">
        <v>450</v>
      </c>
      <c r="D20" s="21">
        <f>B20*C20</f>
        <v>450</v>
      </c>
      <c r="E20" s="20">
        <v>1</v>
      </c>
      <c r="F20" s="14"/>
    </row>
    <row r="21" spans="1:6">
      <c r="A21" s="12"/>
      <c r="B21" s="21"/>
      <c r="C21" s="22" t="s">
        <v>21</v>
      </c>
      <c r="D21" s="22">
        <f>SUM(D17:D20)</f>
        <v>1650</v>
      </c>
      <c r="E21" s="20"/>
      <c r="F21" s="14"/>
    </row>
    <row r="22" spans="1:6">
      <c r="A22" s="12"/>
      <c r="B22" s="21"/>
      <c r="C22" s="21"/>
      <c r="D22" s="21"/>
      <c r="E22" s="20"/>
      <c r="F22" s="14"/>
    </row>
    <row r="23" spans="1:6">
      <c r="A23" s="35" t="s">
        <v>171</v>
      </c>
      <c r="B23" s="39"/>
      <c r="C23" s="39"/>
      <c r="D23" s="39"/>
      <c r="E23" s="40"/>
      <c r="F23" s="38"/>
    </row>
    <row r="24" spans="1:6">
      <c r="A24" s="12" t="s">
        <v>375</v>
      </c>
      <c r="B24" s="21">
        <v>1</v>
      </c>
      <c r="C24" s="21">
        <v>700</v>
      </c>
      <c r="D24" s="21">
        <f>B24*C24</f>
        <v>700</v>
      </c>
      <c r="E24" s="20">
        <v>1</v>
      </c>
      <c r="F24" s="14" t="s">
        <v>376</v>
      </c>
    </row>
    <row r="25" spans="1:6">
      <c r="A25" s="12" t="s">
        <v>234</v>
      </c>
      <c r="B25" s="21">
        <v>1</v>
      </c>
      <c r="C25" s="21">
        <v>300</v>
      </c>
      <c r="D25" s="21">
        <f>B25*C25</f>
        <v>300</v>
      </c>
      <c r="E25" s="20">
        <v>1</v>
      </c>
      <c r="F25" s="14"/>
    </row>
    <row r="26" spans="1:6">
      <c r="A26" s="12" t="s">
        <v>345</v>
      </c>
      <c r="B26" s="21">
        <v>1</v>
      </c>
      <c r="C26" s="21">
        <v>220</v>
      </c>
      <c r="D26" s="21">
        <f>B26*C26</f>
        <v>220</v>
      </c>
      <c r="E26" s="20">
        <v>1</v>
      </c>
      <c r="F26" s="14"/>
    </row>
    <row r="27" spans="1:6">
      <c r="A27" s="12"/>
      <c r="B27" s="21"/>
      <c r="C27" s="22" t="s">
        <v>21</v>
      </c>
      <c r="D27" s="22">
        <f>SUM(D24:D26)</f>
        <v>1220</v>
      </c>
      <c r="E27" s="20"/>
      <c r="F27" s="14"/>
    </row>
    <row r="28" spans="1:6">
      <c r="A28" s="12"/>
      <c r="B28" s="21"/>
      <c r="C28" s="21"/>
      <c r="D28" s="21"/>
      <c r="E28" s="20"/>
      <c r="F28" s="14"/>
    </row>
    <row r="29" spans="1:6">
      <c r="A29" s="12"/>
      <c r="B29" s="23"/>
      <c r="C29" s="15" t="s">
        <v>21</v>
      </c>
      <c r="D29" s="15">
        <f>C3</f>
        <v>5890</v>
      </c>
      <c r="E29" s="13"/>
      <c r="F29" s="14"/>
    </row>
    <row r="30" spans="1:6" ht="28">
      <c r="A30" s="12"/>
      <c r="B30" s="23"/>
      <c r="C30" s="15" t="s">
        <v>45</v>
      </c>
      <c r="D30" s="15">
        <f>C4</f>
        <v>1.64</v>
      </c>
      <c r="E30" s="13"/>
      <c r="F30" s="14"/>
    </row>
    <row r="31" spans="1:6" ht="28">
      <c r="A31" s="16"/>
      <c r="B31" s="24"/>
      <c r="C31" s="18" t="s">
        <v>46</v>
      </c>
      <c r="D31" s="18">
        <f>C5</f>
        <v>9659.5999999999985</v>
      </c>
      <c r="E31" s="17"/>
      <c r="F31" s="19"/>
    </row>
  </sheetData>
  <mergeCells count="4">
    <mergeCell ref="A1:F1"/>
    <mergeCell ref="A9:F9"/>
    <mergeCell ref="A16:F16"/>
    <mergeCell ref="A23:F2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41"/>
  <sheetViews>
    <sheetView workbookViewId="0">
      <selection sqref="A1:F1"/>
    </sheetView>
  </sheetViews>
  <sheetFormatPr defaultRowHeight="14"/>
  <cols>
    <col min="1" max="1" width="31" customWidth="1"/>
    <col min="2" max="2" width="11" customWidth="1"/>
    <col min="3" max="4" width="13" customWidth="1"/>
    <col min="5" max="5" width="8" customWidth="1"/>
    <col min="6" max="6" width="42" customWidth="1"/>
  </cols>
  <sheetData>
    <row r="1" spans="1:6" ht="18">
      <c r="A1" s="34" t="s">
        <v>377</v>
      </c>
      <c r="B1" s="34"/>
      <c r="C1" s="34"/>
      <c r="D1" s="34"/>
      <c r="E1" s="34"/>
      <c r="F1" s="34"/>
    </row>
    <row r="2" spans="1:6">
      <c r="A2" s="25"/>
      <c r="B2" s="25"/>
      <c r="C2" s="25"/>
      <c r="D2" s="25"/>
      <c r="E2" s="25"/>
      <c r="F2" s="25"/>
    </row>
    <row r="3" spans="1:6" ht="42">
      <c r="A3" s="25"/>
      <c r="B3" s="26" t="s">
        <v>1</v>
      </c>
      <c r="C3" s="27">
        <f>SUM(D15,D23,D30,D37)</f>
        <v>21740</v>
      </c>
      <c r="D3" s="26" t="s">
        <v>2</v>
      </c>
      <c r="E3" s="27">
        <f>C5</f>
        <v>35001.4</v>
      </c>
      <c r="F3" s="25"/>
    </row>
    <row r="4" spans="1:6" ht="42">
      <c r="A4" s="25"/>
      <c r="B4" s="26" t="s">
        <v>3</v>
      </c>
      <c r="C4" s="28">
        <v>1.61</v>
      </c>
      <c r="D4" s="25"/>
      <c r="E4" s="25"/>
      <c r="F4" s="25"/>
    </row>
    <row r="5" spans="1:6" ht="42">
      <c r="A5" s="25"/>
      <c r="B5" s="26" t="s">
        <v>4</v>
      </c>
      <c r="C5" s="27">
        <f>C3*C4</f>
        <v>35001.4</v>
      </c>
      <c r="D5" s="25"/>
      <c r="E5" s="25"/>
      <c r="F5" s="25"/>
    </row>
    <row r="6" spans="1:6">
      <c r="A6" s="25"/>
      <c r="B6" s="25"/>
      <c r="C6" s="25"/>
      <c r="D6" s="25"/>
      <c r="E6" s="25"/>
      <c r="F6" s="25"/>
    </row>
    <row r="7" spans="1:6">
      <c r="A7" s="25"/>
      <c r="B7" s="25"/>
      <c r="C7" s="25"/>
      <c r="D7" s="25"/>
      <c r="E7" s="25"/>
      <c r="F7" s="25"/>
    </row>
    <row r="8" spans="1:6">
      <c r="A8" s="29" t="s">
        <v>5</v>
      </c>
      <c r="B8" s="30" t="s">
        <v>6</v>
      </c>
      <c r="C8" s="30" t="s">
        <v>7</v>
      </c>
      <c r="D8" s="30" t="s">
        <v>8</v>
      </c>
      <c r="E8" s="30" t="s">
        <v>9</v>
      </c>
      <c r="F8" s="31" t="s">
        <v>10</v>
      </c>
    </row>
    <row r="9" spans="1:6">
      <c r="A9" s="35" t="s">
        <v>378</v>
      </c>
      <c r="B9" s="36"/>
      <c r="C9" s="36"/>
      <c r="D9" s="36"/>
      <c r="E9" s="37"/>
      <c r="F9" s="38"/>
    </row>
    <row r="10" spans="1:6">
      <c r="A10" s="12" t="s">
        <v>379</v>
      </c>
      <c r="B10" s="21">
        <v>1</v>
      </c>
      <c r="C10" s="21">
        <v>4500</v>
      </c>
      <c r="D10" s="21">
        <f>B10*C10</f>
        <v>4500</v>
      </c>
      <c r="E10" s="20">
        <v>1</v>
      </c>
      <c r="F10" s="14" t="s">
        <v>380</v>
      </c>
    </row>
    <row r="11" spans="1:6">
      <c r="A11" s="12" t="s">
        <v>381</v>
      </c>
      <c r="B11" s="21">
        <v>1</v>
      </c>
      <c r="C11" s="21">
        <v>2500</v>
      </c>
      <c r="D11" s="21">
        <f>B11*C11</f>
        <v>2500</v>
      </c>
      <c r="E11" s="20">
        <v>1</v>
      </c>
      <c r="F11" s="14" t="s">
        <v>382</v>
      </c>
    </row>
    <row r="12" spans="1:6">
      <c r="A12" s="12" t="s">
        <v>383</v>
      </c>
      <c r="B12" s="21">
        <v>1</v>
      </c>
      <c r="C12" s="21">
        <v>2200</v>
      </c>
      <c r="D12" s="21">
        <f>B12*C12</f>
        <v>2200</v>
      </c>
      <c r="E12" s="20">
        <v>1</v>
      </c>
      <c r="F12" s="14" t="s">
        <v>384</v>
      </c>
    </row>
    <row r="13" spans="1:6">
      <c r="A13" s="12" t="s">
        <v>385</v>
      </c>
      <c r="B13" s="21">
        <v>1</v>
      </c>
      <c r="C13" s="21">
        <v>800</v>
      </c>
      <c r="D13" s="21">
        <f>B13*C13</f>
        <v>800</v>
      </c>
      <c r="E13" s="20">
        <v>1</v>
      </c>
      <c r="F13" s="14" t="s">
        <v>386</v>
      </c>
    </row>
    <row r="14" spans="1:6">
      <c r="A14" s="12" t="s">
        <v>387</v>
      </c>
      <c r="B14" s="21">
        <v>1</v>
      </c>
      <c r="C14" s="21">
        <v>600</v>
      </c>
      <c r="D14" s="21">
        <f>B14*C14</f>
        <v>600</v>
      </c>
      <c r="E14" s="20">
        <v>1</v>
      </c>
      <c r="F14" s="14"/>
    </row>
    <row r="15" spans="1:6">
      <c r="A15" s="12"/>
      <c r="B15" s="21"/>
      <c r="C15" s="22" t="s">
        <v>21</v>
      </c>
      <c r="D15" s="22">
        <f>SUM(D10:D14)</f>
        <v>10600</v>
      </c>
      <c r="E15" s="20"/>
      <c r="F15" s="14"/>
    </row>
    <row r="16" spans="1:6">
      <c r="A16" s="12"/>
      <c r="B16" s="21"/>
      <c r="C16" s="21"/>
      <c r="D16" s="21"/>
      <c r="E16" s="20"/>
      <c r="F16" s="14"/>
    </row>
    <row r="17" spans="1:6">
      <c r="A17" s="35" t="s">
        <v>388</v>
      </c>
      <c r="B17" s="39"/>
      <c r="C17" s="39"/>
      <c r="D17" s="39"/>
      <c r="E17" s="40"/>
      <c r="F17" s="38"/>
    </row>
    <row r="18" spans="1:6">
      <c r="A18" s="12" t="s">
        <v>389</v>
      </c>
      <c r="B18" s="21">
        <v>1</v>
      </c>
      <c r="C18" s="21">
        <v>1800</v>
      </c>
      <c r="D18" s="21">
        <f>B18*C18</f>
        <v>1800</v>
      </c>
      <c r="E18" s="20">
        <v>1</v>
      </c>
      <c r="F18" s="14" t="s">
        <v>390</v>
      </c>
    </row>
    <row r="19" spans="1:6">
      <c r="A19" s="12" t="s">
        <v>391</v>
      </c>
      <c r="B19" s="21">
        <v>1</v>
      </c>
      <c r="C19" s="21">
        <v>1600</v>
      </c>
      <c r="D19" s="21">
        <f>B19*C19</f>
        <v>1600</v>
      </c>
      <c r="E19" s="20">
        <v>1</v>
      </c>
      <c r="F19" s="14" t="s">
        <v>392</v>
      </c>
    </row>
    <row r="20" spans="1:6">
      <c r="A20" s="12" t="s">
        <v>393</v>
      </c>
      <c r="B20" s="21">
        <v>1</v>
      </c>
      <c r="C20" s="21">
        <v>450</v>
      </c>
      <c r="D20" s="21">
        <f>B20*C20</f>
        <v>450</v>
      </c>
      <c r="E20" s="20">
        <v>1</v>
      </c>
      <c r="F20" s="14"/>
    </row>
    <row r="21" spans="1:6">
      <c r="A21" s="12" t="s">
        <v>394</v>
      </c>
      <c r="B21" s="21">
        <v>12</v>
      </c>
      <c r="C21" s="21">
        <v>120</v>
      </c>
      <c r="D21" s="21">
        <f>B21*C21</f>
        <v>1440</v>
      </c>
      <c r="E21" s="20">
        <v>1</v>
      </c>
      <c r="F21" s="14" t="s">
        <v>395</v>
      </c>
    </row>
    <row r="22" spans="1:6">
      <c r="A22" s="12" t="s">
        <v>396</v>
      </c>
      <c r="B22" s="21">
        <v>1</v>
      </c>
      <c r="C22" s="21">
        <v>500</v>
      </c>
      <c r="D22" s="21">
        <f>B22*C22</f>
        <v>500</v>
      </c>
      <c r="E22" s="20">
        <v>1</v>
      </c>
      <c r="F22" s="14" t="s">
        <v>397</v>
      </c>
    </row>
    <row r="23" spans="1:6">
      <c r="A23" s="12"/>
      <c r="B23" s="21"/>
      <c r="C23" s="22" t="s">
        <v>21</v>
      </c>
      <c r="D23" s="22">
        <f>SUM(D18:D22)</f>
        <v>5790</v>
      </c>
      <c r="E23" s="20"/>
      <c r="F23" s="14"/>
    </row>
    <row r="24" spans="1:6">
      <c r="A24" s="12"/>
      <c r="B24" s="21"/>
      <c r="C24" s="21"/>
      <c r="D24" s="21"/>
      <c r="E24" s="20"/>
      <c r="F24" s="14"/>
    </row>
    <row r="25" spans="1:6">
      <c r="A25" s="35" t="s">
        <v>398</v>
      </c>
      <c r="B25" s="39"/>
      <c r="C25" s="39"/>
      <c r="D25" s="39"/>
      <c r="E25" s="40"/>
      <c r="F25" s="38"/>
    </row>
    <row r="26" spans="1:6">
      <c r="A26" s="12" t="s">
        <v>399</v>
      </c>
      <c r="B26" s="21">
        <v>1</v>
      </c>
      <c r="C26" s="21">
        <v>1200</v>
      </c>
      <c r="D26" s="21">
        <f>B26*C26</f>
        <v>1200</v>
      </c>
      <c r="E26" s="20">
        <v>1</v>
      </c>
      <c r="F26" s="14" t="s">
        <v>400</v>
      </c>
    </row>
    <row r="27" spans="1:6">
      <c r="A27" s="12" t="s">
        <v>401</v>
      </c>
      <c r="B27" s="21">
        <v>1</v>
      </c>
      <c r="C27" s="21">
        <v>500</v>
      </c>
      <c r="D27" s="21">
        <f>B27*C27</f>
        <v>500</v>
      </c>
      <c r="E27" s="20">
        <v>1</v>
      </c>
      <c r="F27" s="14" t="s">
        <v>402</v>
      </c>
    </row>
    <row r="28" spans="1:6">
      <c r="A28" s="12" t="s">
        <v>403</v>
      </c>
      <c r="B28" s="21">
        <v>1</v>
      </c>
      <c r="C28" s="21">
        <v>450</v>
      </c>
      <c r="D28" s="21">
        <f>B28*C28</f>
        <v>450</v>
      </c>
      <c r="E28" s="20">
        <v>1</v>
      </c>
      <c r="F28" s="14"/>
    </row>
    <row r="29" spans="1:6">
      <c r="A29" s="12" t="s">
        <v>404</v>
      </c>
      <c r="B29" s="21">
        <v>1</v>
      </c>
      <c r="C29" s="21">
        <v>600</v>
      </c>
      <c r="D29" s="21">
        <f>B29*C29</f>
        <v>600</v>
      </c>
      <c r="E29" s="20">
        <v>1</v>
      </c>
      <c r="F29" s="14"/>
    </row>
    <row r="30" spans="1:6">
      <c r="A30" s="12"/>
      <c r="B30" s="21"/>
      <c r="C30" s="22" t="s">
        <v>21</v>
      </c>
      <c r="D30" s="22">
        <f>SUM(D26:D29)</f>
        <v>2750</v>
      </c>
      <c r="E30" s="20"/>
      <c r="F30" s="14"/>
    </row>
    <row r="31" spans="1:6">
      <c r="A31" s="12"/>
      <c r="B31" s="21"/>
      <c r="C31" s="21"/>
      <c r="D31" s="21"/>
      <c r="E31" s="20"/>
      <c r="F31" s="14"/>
    </row>
    <row r="32" spans="1:6">
      <c r="A32" s="35" t="s">
        <v>405</v>
      </c>
      <c r="B32" s="39"/>
      <c r="C32" s="39"/>
      <c r="D32" s="39"/>
      <c r="E32" s="40"/>
      <c r="F32" s="38"/>
    </row>
    <row r="33" spans="1:6">
      <c r="A33" s="12" t="s">
        <v>406</v>
      </c>
      <c r="B33" s="21">
        <v>6</v>
      </c>
      <c r="C33" s="21">
        <v>100</v>
      </c>
      <c r="D33" s="21">
        <f>B33*C33</f>
        <v>600</v>
      </c>
      <c r="E33" s="20">
        <v>1</v>
      </c>
      <c r="F33" s="14"/>
    </row>
    <row r="34" spans="1:6">
      <c r="A34" s="12" t="s">
        <v>407</v>
      </c>
      <c r="B34" s="21">
        <v>1</v>
      </c>
      <c r="C34" s="21">
        <v>900</v>
      </c>
      <c r="D34" s="21">
        <f>B34*C34</f>
        <v>900</v>
      </c>
      <c r="E34" s="20">
        <v>1</v>
      </c>
      <c r="F34" s="14"/>
    </row>
    <row r="35" spans="1:6">
      <c r="A35" s="12" t="s">
        <v>408</v>
      </c>
      <c r="B35" s="21">
        <v>1</v>
      </c>
      <c r="C35" s="21">
        <v>700</v>
      </c>
      <c r="D35" s="21">
        <f>B35*C35</f>
        <v>700</v>
      </c>
      <c r="E35" s="20">
        <v>1</v>
      </c>
      <c r="F35" s="14"/>
    </row>
    <row r="36" spans="1:6">
      <c r="A36" s="12" t="s">
        <v>409</v>
      </c>
      <c r="B36" s="21">
        <v>1</v>
      </c>
      <c r="C36" s="21">
        <v>400</v>
      </c>
      <c r="D36" s="21">
        <f>B36*C36</f>
        <v>400</v>
      </c>
      <c r="E36" s="20">
        <v>1</v>
      </c>
      <c r="F36" s="14"/>
    </row>
    <row r="37" spans="1:6">
      <c r="A37" s="12"/>
      <c r="B37" s="21"/>
      <c r="C37" s="22" t="s">
        <v>21</v>
      </c>
      <c r="D37" s="22">
        <f>SUM(D33:D36)</f>
        <v>2600</v>
      </c>
      <c r="E37" s="20"/>
      <c r="F37" s="14"/>
    </row>
    <row r="38" spans="1:6">
      <c r="A38" s="12"/>
      <c r="B38" s="21"/>
      <c r="C38" s="21"/>
      <c r="D38" s="21"/>
      <c r="E38" s="20"/>
      <c r="F38" s="14"/>
    </row>
    <row r="39" spans="1:6">
      <c r="A39" s="12"/>
      <c r="B39" s="23"/>
      <c r="C39" s="15" t="s">
        <v>21</v>
      </c>
      <c r="D39" s="15">
        <f>C3</f>
        <v>21740</v>
      </c>
      <c r="E39" s="13"/>
      <c r="F39" s="14"/>
    </row>
    <row r="40" spans="1:6" ht="28">
      <c r="A40" s="12"/>
      <c r="B40" s="23"/>
      <c r="C40" s="15" t="s">
        <v>45</v>
      </c>
      <c r="D40" s="15">
        <f>C4</f>
        <v>1.61</v>
      </c>
      <c r="E40" s="13"/>
      <c r="F40" s="14"/>
    </row>
    <row r="41" spans="1:6" ht="28">
      <c r="A41" s="16"/>
      <c r="B41" s="24"/>
      <c r="C41" s="18" t="s">
        <v>46</v>
      </c>
      <c r="D41" s="18">
        <f>C5</f>
        <v>35001.4</v>
      </c>
      <c r="E41" s="17"/>
      <c r="F41" s="19"/>
    </row>
  </sheetData>
  <mergeCells count="5">
    <mergeCell ref="A1:F1"/>
    <mergeCell ref="A9:F9"/>
    <mergeCell ref="A17:F17"/>
    <mergeCell ref="A25:F25"/>
    <mergeCell ref="A32:F3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32"/>
  <sheetViews>
    <sheetView workbookViewId="0">
      <selection sqref="A1:F1"/>
    </sheetView>
  </sheetViews>
  <sheetFormatPr defaultRowHeight="14"/>
  <cols>
    <col min="1" max="1" width="31" customWidth="1"/>
    <col min="2" max="2" width="11" customWidth="1"/>
    <col min="3" max="4" width="13" customWidth="1"/>
    <col min="5" max="5" width="8" customWidth="1"/>
    <col min="6" max="6" width="42" customWidth="1"/>
  </cols>
  <sheetData>
    <row r="1" spans="1:6" ht="18">
      <c r="A1" s="34" t="s">
        <v>410</v>
      </c>
      <c r="B1" s="34"/>
      <c r="C1" s="34"/>
      <c r="D1" s="34"/>
      <c r="E1" s="34"/>
      <c r="F1" s="34"/>
    </row>
    <row r="2" spans="1:6">
      <c r="A2" s="25"/>
      <c r="B2" s="25"/>
      <c r="C2" s="25"/>
      <c r="D2" s="25"/>
      <c r="E2" s="25"/>
      <c r="F2" s="25"/>
    </row>
    <row r="3" spans="1:6" ht="42">
      <c r="A3" s="25"/>
      <c r="B3" s="26" t="s">
        <v>1</v>
      </c>
      <c r="C3" s="27">
        <f>SUM(D14,D21,D28)</f>
        <v>7310</v>
      </c>
      <c r="D3" s="26" t="s">
        <v>2</v>
      </c>
      <c r="E3" s="27">
        <f>C5</f>
        <v>10965</v>
      </c>
      <c r="F3" s="25"/>
    </row>
    <row r="4" spans="1:6" ht="42">
      <c r="A4" s="25"/>
      <c r="B4" s="26" t="s">
        <v>3</v>
      </c>
      <c r="C4" s="28">
        <v>1.5</v>
      </c>
      <c r="D4" s="25"/>
      <c r="E4" s="25"/>
      <c r="F4" s="25"/>
    </row>
    <row r="5" spans="1:6" ht="42">
      <c r="A5" s="25"/>
      <c r="B5" s="26" t="s">
        <v>4</v>
      </c>
      <c r="C5" s="27">
        <f>C3*C4</f>
        <v>10965</v>
      </c>
      <c r="D5" s="25"/>
      <c r="E5" s="25"/>
      <c r="F5" s="25"/>
    </row>
    <row r="6" spans="1:6">
      <c r="A6" s="25"/>
      <c r="B6" s="25"/>
      <c r="C6" s="25"/>
      <c r="D6" s="25"/>
      <c r="E6" s="25"/>
      <c r="F6" s="25"/>
    </row>
    <row r="7" spans="1:6">
      <c r="A7" s="25"/>
      <c r="B7" s="25"/>
      <c r="C7" s="25"/>
      <c r="D7" s="25"/>
      <c r="E7" s="25"/>
      <c r="F7" s="25"/>
    </row>
    <row r="8" spans="1:6">
      <c r="A8" s="29" t="s">
        <v>5</v>
      </c>
      <c r="B8" s="30" t="s">
        <v>6</v>
      </c>
      <c r="C8" s="30" t="s">
        <v>7</v>
      </c>
      <c r="D8" s="30" t="s">
        <v>8</v>
      </c>
      <c r="E8" s="30" t="s">
        <v>9</v>
      </c>
      <c r="F8" s="31" t="s">
        <v>10</v>
      </c>
    </row>
    <row r="9" spans="1:6">
      <c r="A9" s="35" t="s">
        <v>411</v>
      </c>
      <c r="B9" s="36"/>
      <c r="C9" s="36"/>
      <c r="D9" s="36"/>
      <c r="E9" s="37"/>
      <c r="F9" s="38"/>
    </row>
    <row r="10" spans="1:6">
      <c r="A10" s="12" t="s">
        <v>412</v>
      </c>
      <c r="B10" s="21">
        <v>1</v>
      </c>
      <c r="C10" s="21">
        <v>1600</v>
      </c>
      <c r="D10" s="21">
        <f>B10*C10</f>
        <v>1600</v>
      </c>
      <c r="E10" s="20">
        <v>1</v>
      </c>
      <c r="F10" s="14" t="s">
        <v>413</v>
      </c>
    </row>
    <row r="11" spans="1:6">
      <c r="A11" s="12" t="s">
        <v>414</v>
      </c>
      <c r="B11" s="21">
        <v>1</v>
      </c>
      <c r="C11" s="21">
        <v>450</v>
      </c>
      <c r="D11" s="21">
        <f>B11*C11</f>
        <v>450</v>
      </c>
      <c r="E11" s="20">
        <v>1</v>
      </c>
      <c r="F11" s="14"/>
    </row>
    <row r="12" spans="1:6">
      <c r="A12" s="12" t="s">
        <v>415</v>
      </c>
      <c r="B12" s="21">
        <v>16</v>
      </c>
      <c r="C12" s="21">
        <v>90</v>
      </c>
      <c r="D12" s="21">
        <f>B12*C12</f>
        <v>1440</v>
      </c>
      <c r="E12" s="20">
        <v>1</v>
      </c>
      <c r="F12" s="14" t="s">
        <v>416</v>
      </c>
    </row>
    <row r="13" spans="1:6">
      <c r="A13" s="12" t="s">
        <v>417</v>
      </c>
      <c r="B13" s="21">
        <v>1</v>
      </c>
      <c r="C13" s="21">
        <v>500</v>
      </c>
      <c r="D13" s="21">
        <f>B13*C13</f>
        <v>500</v>
      </c>
      <c r="E13" s="20">
        <v>1</v>
      </c>
      <c r="F13" s="14"/>
    </row>
    <row r="14" spans="1:6">
      <c r="A14" s="12"/>
      <c r="B14" s="21"/>
      <c r="C14" s="22" t="s">
        <v>21</v>
      </c>
      <c r="D14" s="22">
        <f>SUM(D10:D13)</f>
        <v>3990</v>
      </c>
      <c r="E14" s="20"/>
      <c r="F14" s="14"/>
    </row>
    <row r="15" spans="1:6">
      <c r="A15" s="12"/>
      <c r="B15" s="21"/>
      <c r="C15" s="21"/>
      <c r="D15" s="21"/>
      <c r="E15" s="20"/>
      <c r="F15" s="14"/>
    </row>
    <row r="16" spans="1:6">
      <c r="A16" s="35" t="s">
        <v>418</v>
      </c>
      <c r="B16" s="39"/>
      <c r="C16" s="39"/>
      <c r="D16" s="39"/>
      <c r="E16" s="40"/>
      <c r="F16" s="38"/>
    </row>
    <row r="17" spans="1:6">
      <c r="A17" s="12" t="s">
        <v>419</v>
      </c>
      <c r="B17" s="21">
        <v>1</v>
      </c>
      <c r="C17" s="21">
        <v>650</v>
      </c>
      <c r="D17" s="21">
        <f>B17*C17</f>
        <v>650</v>
      </c>
      <c r="E17" s="20">
        <v>1</v>
      </c>
      <c r="F17" s="14" t="s">
        <v>420</v>
      </c>
    </row>
    <row r="18" spans="1:6">
      <c r="A18" s="12" t="s">
        <v>421</v>
      </c>
      <c r="B18" s="21">
        <v>1</v>
      </c>
      <c r="C18" s="21">
        <v>160</v>
      </c>
      <c r="D18" s="21">
        <f>B18*C18</f>
        <v>160</v>
      </c>
      <c r="E18" s="20">
        <v>1</v>
      </c>
      <c r="F18" s="14"/>
    </row>
    <row r="19" spans="1:6">
      <c r="A19" s="12" t="s">
        <v>422</v>
      </c>
      <c r="B19" s="21">
        <v>2</v>
      </c>
      <c r="C19" s="21">
        <v>120</v>
      </c>
      <c r="D19" s="21">
        <f>B19*C19</f>
        <v>240</v>
      </c>
      <c r="E19" s="20">
        <v>1</v>
      </c>
      <c r="F19" s="14"/>
    </row>
    <row r="20" spans="1:6">
      <c r="A20" s="12" t="s">
        <v>423</v>
      </c>
      <c r="B20" s="21">
        <v>1</v>
      </c>
      <c r="C20" s="21">
        <v>220</v>
      </c>
      <c r="D20" s="21">
        <f>B20*C20</f>
        <v>220</v>
      </c>
      <c r="E20" s="20">
        <v>1</v>
      </c>
      <c r="F20" s="14"/>
    </row>
    <row r="21" spans="1:6">
      <c r="A21" s="12"/>
      <c r="B21" s="21"/>
      <c r="C21" s="22" t="s">
        <v>21</v>
      </c>
      <c r="D21" s="22">
        <f>SUM(D17:D20)</f>
        <v>1270</v>
      </c>
      <c r="E21" s="20"/>
      <c r="F21" s="14"/>
    </row>
    <row r="22" spans="1:6">
      <c r="A22" s="12"/>
      <c r="B22" s="21"/>
      <c r="C22" s="21"/>
      <c r="D22" s="21"/>
      <c r="E22" s="20"/>
      <c r="F22" s="14"/>
    </row>
    <row r="23" spans="1:6">
      <c r="A23" s="35" t="s">
        <v>424</v>
      </c>
      <c r="B23" s="39"/>
      <c r="C23" s="39"/>
      <c r="D23" s="39"/>
      <c r="E23" s="40"/>
      <c r="F23" s="38"/>
    </row>
    <row r="24" spans="1:6">
      <c r="A24" s="12" t="s">
        <v>425</v>
      </c>
      <c r="B24" s="21">
        <v>1</v>
      </c>
      <c r="C24" s="21">
        <v>900</v>
      </c>
      <c r="D24" s="21">
        <f>B24*C24</f>
        <v>900</v>
      </c>
      <c r="E24" s="20">
        <v>1</v>
      </c>
      <c r="F24" s="14"/>
    </row>
    <row r="25" spans="1:6">
      <c r="A25" s="12" t="s">
        <v>426</v>
      </c>
      <c r="B25" s="21">
        <v>1</v>
      </c>
      <c r="C25" s="21">
        <v>300</v>
      </c>
      <c r="D25" s="21">
        <f>B25*C25</f>
        <v>300</v>
      </c>
      <c r="E25" s="20">
        <v>1</v>
      </c>
      <c r="F25" s="14"/>
    </row>
    <row r="26" spans="1:6">
      <c r="A26" s="12" t="s">
        <v>427</v>
      </c>
      <c r="B26" s="21">
        <v>1</v>
      </c>
      <c r="C26" s="21">
        <v>500</v>
      </c>
      <c r="D26" s="21">
        <f>B26*C26</f>
        <v>500</v>
      </c>
      <c r="E26" s="20">
        <v>1</v>
      </c>
      <c r="F26" s="14"/>
    </row>
    <row r="27" spans="1:6">
      <c r="A27" s="12" t="s">
        <v>428</v>
      </c>
      <c r="B27" s="21">
        <v>1</v>
      </c>
      <c r="C27" s="21">
        <v>350</v>
      </c>
      <c r="D27" s="21">
        <f>B27*C27</f>
        <v>350</v>
      </c>
      <c r="E27" s="20">
        <v>1</v>
      </c>
      <c r="F27" s="14"/>
    </row>
    <row r="28" spans="1:6">
      <c r="A28" s="12"/>
      <c r="B28" s="21"/>
      <c r="C28" s="22" t="s">
        <v>21</v>
      </c>
      <c r="D28" s="22">
        <f>SUM(D24:D27)</f>
        <v>2050</v>
      </c>
      <c r="E28" s="20"/>
      <c r="F28" s="14"/>
    </row>
    <row r="29" spans="1:6">
      <c r="A29" s="12"/>
      <c r="B29" s="21"/>
      <c r="C29" s="21"/>
      <c r="D29" s="21"/>
      <c r="E29" s="20"/>
      <c r="F29" s="14"/>
    </row>
    <row r="30" spans="1:6">
      <c r="A30" s="12"/>
      <c r="B30" s="23"/>
      <c r="C30" s="15" t="s">
        <v>21</v>
      </c>
      <c r="D30" s="15">
        <f>C3</f>
        <v>7310</v>
      </c>
      <c r="E30" s="13"/>
      <c r="F30" s="14"/>
    </row>
    <row r="31" spans="1:6" ht="28">
      <c r="A31" s="12"/>
      <c r="B31" s="23"/>
      <c r="C31" s="15" t="s">
        <v>45</v>
      </c>
      <c r="D31" s="15">
        <f>C4</f>
        <v>1.5</v>
      </c>
      <c r="E31" s="13"/>
      <c r="F31" s="14"/>
    </row>
    <row r="32" spans="1:6" ht="28">
      <c r="A32" s="16"/>
      <c r="B32" s="24"/>
      <c r="C32" s="18" t="s">
        <v>46</v>
      </c>
      <c r="D32" s="18">
        <f>C5</f>
        <v>10965</v>
      </c>
      <c r="E32" s="17"/>
      <c r="F32" s="19"/>
    </row>
  </sheetData>
  <mergeCells count="4">
    <mergeCell ref="A1:F1"/>
    <mergeCell ref="A9:F9"/>
    <mergeCell ref="A16:F16"/>
    <mergeCell ref="A23:F2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31"/>
  <sheetViews>
    <sheetView workbookViewId="0">
      <selection sqref="A1:F1"/>
    </sheetView>
  </sheetViews>
  <sheetFormatPr defaultRowHeight="14"/>
  <cols>
    <col min="1" max="1" width="31" customWidth="1"/>
    <col min="2" max="2" width="11" customWidth="1"/>
    <col min="3" max="4" width="13" customWidth="1"/>
    <col min="5" max="5" width="8" customWidth="1"/>
    <col min="6" max="6" width="42" customWidth="1"/>
  </cols>
  <sheetData>
    <row r="1" spans="1:6" ht="18">
      <c r="A1" s="34" t="s">
        <v>429</v>
      </c>
      <c r="B1" s="34"/>
      <c r="C1" s="34"/>
      <c r="D1" s="34"/>
      <c r="E1" s="34"/>
      <c r="F1" s="34"/>
    </row>
    <row r="2" spans="1:6">
      <c r="A2" s="25"/>
      <c r="B2" s="25"/>
      <c r="C2" s="25"/>
      <c r="D2" s="25"/>
      <c r="E2" s="25"/>
      <c r="F2" s="25"/>
    </row>
    <row r="3" spans="1:6" ht="42">
      <c r="A3" s="25"/>
      <c r="B3" s="26" t="s">
        <v>1</v>
      </c>
      <c r="C3" s="27">
        <f>SUM(D14,D21,D27)</f>
        <v>10270</v>
      </c>
      <c r="D3" s="26" t="s">
        <v>2</v>
      </c>
      <c r="E3" s="27">
        <f>C5</f>
        <v>14891.5</v>
      </c>
      <c r="F3" s="25"/>
    </row>
    <row r="4" spans="1:6" ht="42">
      <c r="A4" s="25"/>
      <c r="B4" s="26" t="s">
        <v>3</v>
      </c>
      <c r="C4" s="28">
        <v>1.45</v>
      </c>
      <c r="D4" s="25"/>
      <c r="E4" s="25"/>
      <c r="F4" s="25"/>
    </row>
    <row r="5" spans="1:6" ht="42">
      <c r="A5" s="25"/>
      <c r="B5" s="26" t="s">
        <v>4</v>
      </c>
      <c r="C5" s="27">
        <f>C3*C4</f>
        <v>14891.5</v>
      </c>
      <c r="D5" s="25"/>
      <c r="E5" s="25"/>
      <c r="F5" s="25"/>
    </row>
    <row r="6" spans="1:6">
      <c r="A6" s="25"/>
      <c r="B6" s="25"/>
      <c r="C6" s="25"/>
      <c r="D6" s="25"/>
      <c r="E6" s="25"/>
      <c r="F6" s="25"/>
    </row>
    <row r="7" spans="1:6">
      <c r="A7" s="25"/>
      <c r="B7" s="25"/>
      <c r="C7" s="25"/>
      <c r="D7" s="25"/>
      <c r="E7" s="25"/>
      <c r="F7" s="25"/>
    </row>
    <row r="8" spans="1:6">
      <c r="A8" s="29" t="s">
        <v>5</v>
      </c>
      <c r="B8" s="30" t="s">
        <v>6</v>
      </c>
      <c r="C8" s="30" t="s">
        <v>7</v>
      </c>
      <c r="D8" s="30" t="s">
        <v>8</v>
      </c>
      <c r="E8" s="30" t="s">
        <v>9</v>
      </c>
      <c r="F8" s="31" t="s">
        <v>10</v>
      </c>
    </row>
    <row r="9" spans="1:6">
      <c r="A9" s="35" t="s">
        <v>430</v>
      </c>
      <c r="B9" s="36"/>
      <c r="C9" s="36"/>
      <c r="D9" s="36"/>
      <c r="E9" s="37"/>
      <c r="F9" s="38"/>
    </row>
    <row r="10" spans="1:6">
      <c r="A10" s="12" t="s">
        <v>431</v>
      </c>
      <c r="B10" s="21">
        <v>1</v>
      </c>
      <c r="C10" s="21">
        <v>900</v>
      </c>
      <c r="D10" s="21">
        <f>B10*C10</f>
        <v>900</v>
      </c>
      <c r="E10" s="20">
        <v>7</v>
      </c>
      <c r="F10" s="14" t="s">
        <v>432</v>
      </c>
    </row>
    <row r="11" spans="1:6">
      <c r="A11" s="12" t="s">
        <v>433</v>
      </c>
      <c r="B11" s="21">
        <v>4</v>
      </c>
      <c r="C11" s="21">
        <v>600</v>
      </c>
      <c r="D11" s="21">
        <f>B11*C11</f>
        <v>2400</v>
      </c>
      <c r="E11" s="20">
        <v>7</v>
      </c>
      <c r="F11" s="14" t="s">
        <v>434</v>
      </c>
    </row>
    <row r="12" spans="1:6">
      <c r="A12" s="12" t="s">
        <v>435</v>
      </c>
      <c r="B12" s="21">
        <v>2</v>
      </c>
      <c r="C12" s="21">
        <v>450</v>
      </c>
      <c r="D12" s="21">
        <f>B12*C12</f>
        <v>900</v>
      </c>
      <c r="E12" s="20">
        <v>7</v>
      </c>
      <c r="F12" s="14"/>
    </row>
    <row r="13" spans="1:6">
      <c r="A13" s="12" t="s">
        <v>436</v>
      </c>
      <c r="B13" s="21">
        <v>1</v>
      </c>
      <c r="C13" s="21">
        <v>700</v>
      </c>
      <c r="D13" s="21">
        <f>B13*C13</f>
        <v>700</v>
      </c>
      <c r="E13" s="20">
        <v>7</v>
      </c>
      <c r="F13" s="14"/>
    </row>
    <row r="14" spans="1:6">
      <c r="A14" s="12"/>
      <c r="B14" s="21"/>
      <c r="C14" s="22" t="s">
        <v>21</v>
      </c>
      <c r="D14" s="22">
        <f>SUM(D10:D13)</f>
        <v>4900</v>
      </c>
      <c r="E14" s="20"/>
      <c r="F14" s="14"/>
    </row>
    <row r="15" spans="1:6">
      <c r="A15" s="12"/>
      <c r="B15" s="21"/>
      <c r="C15" s="21"/>
      <c r="D15" s="21"/>
      <c r="E15" s="20"/>
      <c r="F15" s="14"/>
    </row>
    <row r="16" spans="1:6">
      <c r="A16" s="35" t="s">
        <v>437</v>
      </c>
      <c r="B16" s="39"/>
      <c r="C16" s="39"/>
      <c r="D16" s="39"/>
      <c r="E16" s="40"/>
      <c r="F16" s="38"/>
    </row>
    <row r="17" spans="1:6">
      <c r="A17" s="12" t="s">
        <v>438</v>
      </c>
      <c r="B17" s="21">
        <v>1</v>
      </c>
      <c r="C17" s="21">
        <v>1800</v>
      </c>
      <c r="D17" s="21">
        <f>B17*C17</f>
        <v>1800</v>
      </c>
      <c r="E17" s="20">
        <v>7</v>
      </c>
      <c r="F17" s="14" t="s">
        <v>439</v>
      </c>
    </row>
    <row r="18" spans="1:6">
      <c r="A18" s="12" t="s">
        <v>440</v>
      </c>
      <c r="B18" s="21">
        <v>1</v>
      </c>
      <c r="C18" s="21">
        <v>900</v>
      </c>
      <c r="D18" s="21">
        <f>B18*C18</f>
        <v>900</v>
      </c>
      <c r="E18" s="20">
        <v>7</v>
      </c>
      <c r="F18" s="14"/>
    </row>
    <row r="19" spans="1:6">
      <c r="A19" s="12" t="s">
        <v>441</v>
      </c>
      <c r="B19" s="21">
        <v>6</v>
      </c>
      <c r="C19" s="21">
        <v>250</v>
      </c>
      <c r="D19" s="21">
        <f>B19*C19</f>
        <v>1500</v>
      </c>
      <c r="E19" s="20">
        <v>7</v>
      </c>
      <c r="F19" s="14"/>
    </row>
    <row r="20" spans="1:6">
      <c r="A20" s="12" t="s">
        <v>442</v>
      </c>
      <c r="B20" s="21">
        <v>1</v>
      </c>
      <c r="C20" s="21">
        <v>250</v>
      </c>
      <c r="D20" s="21">
        <f>B20*C20</f>
        <v>250</v>
      </c>
      <c r="E20" s="20">
        <v>7</v>
      </c>
      <c r="F20" s="14"/>
    </row>
    <row r="21" spans="1:6">
      <c r="A21" s="12"/>
      <c r="B21" s="21"/>
      <c r="C21" s="22" t="s">
        <v>21</v>
      </c>
      <c r="D21" s="22">
        <f>SUM(D17:D20)</f>
        <v>4450</v>
      </c>
      <c r="E21" s="20"/>
      <c r="F21" s="14"/>
    </row>
    <row r="22" spans="1:6">
      <c r="A22" s="12"/>
      <c r="B22" s="21"/>
      <c r="C22" s="21"/>
      <c r="D22" s="21"/>
      <c r="E22" s="20"/>
      <c r="F22" s="14"/>
    </row>
    <row r="23" spans="1:6">
      <c r="A23" s="35" t="s">
        <v>171</v>
      </c>
      <c r="B23" s="39"/>
      <c r="C23" s="39"/>
      <c r="D23" s="39"/>
      <c r="E23" s="40"/>
      <c r="F23" s="38"/>
    </row>
    <row r="24" spans="1:6">
      <c r="A24" s="12" t="s">
        <v>443</v>
      </c>
      <c r="B24" s="21">
        <v>2</v>
      </c>
      <c r="C24" s="21">
        <v>180</v>
      </c>
      <c r="D24" s="21">
        <f>B24*C24</f>
        <v>360</v>
      </c>
      <c r="E24" s="20">
        <v>7</v>
      </c>
      <c r="F24" s="14" t="s">
        <v>444</v>
      </c>
    </row>
    <row r="25" spans="1:6">
      <c r="A25" s="12" t="s">
        <v>445</v>
      </c>
      <c r="B25" s="21">
        <v>3</v>
      </c>
      <c r="C25" s="21">
        <v>100</v>
      </c>
      <c r="D25" s="21">
        <f>B25*C25</f>
        <v>300</v>
      </c>
      <c r="E25" s="20">
        <v>7</v>
      </c>
      <c r="F25" s="14"/>
    </row>
    <row r="26" spans="1:6">
      <c r="A26" s="12" t="s">
        <v>16</v>
      </c>
      <c r="B26" s="21">
        <v>4</v>
      </c>
      <c r="C26" s="21">
        <v>65</v>
      </c>
      <c r="D26" s="21">
        <f>B26*C26</f>
        <v>260</v>
      </c>
      <c r="E26" s="20">
        <v>7</v>
      </c>
      <c r="F26" s="14"/>
    </row>
    <row r="27" spans="1:6">
      <c r="A27" s="12"/>
      <c r="B27" s="21"/>
      <c r="C27" s="22" t="s">
        <v>21</v>
      </c>
      <c r="D27" s="22">
        <f>SUM(D24:D26)</f>
        <v>920</v>
      </c>
      <c r="E27" s="20"/>
      <c r="F27" s="14"/>
    </row>
    <row r="28" spans="1:6">
      <c r="A28" s="12"/>
      <c r="B28" s="21"/>
      <c r="C28" s="21"/>
      <c r="D28" s="21"/>
      <c r="E28" s="20"/>
      <c r="F28" s="14"/>
    </row>
    <row r="29" spans="1:6">
      <c r="A29" s="12"/>
      <c r="B29" s="23"/>
      <c r="C29" s="15" t="s">
        <v>21</v>
      </c>
      <c r="D29" s="15">
        <f>C3</f>
        <v>10270</v>
      </c>
      <c r="E29" s="13"/>
      <c r="F29" s="14"/>
    </row>
    <row r="30" spans="1:6" ht="28">
      <c r="A30" s="12"/>
      <c r="B30" s="23"/>
      <c r="C30" s="15" t="s">
        <v>45</v>
      </c>
      <c r="D30" s="15">
        <f>C4</f>
        <v>1.45</v>
      </c>
      <c r="E30" s="13"/>
      <c r="F30" s="14"/>
    </row>
    <row r="31" spans="1:6" ht="28">
      <c r="A31" s="16"/>
      <c r="B31" s="24"/>
      <c r="C31" s="18" t="s">
        <v>46</v>
      </c>
      <c r="D31" s="18">
        <f>C5</f>
        <v>14891.5</v>
      </c>
      <c r="E31" s="17"/>
      <c r="F31" s="19"/>
    </row>
  </sheetData>
  <mergeCells count="4">
    <mergeCell ref="A1:F1"/>
    <mergeCell ref="A9:F9"/>
    <mergeCell ref="A16:F16"/>
    <mergeCell ref="A23:F2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33"/>
  <sheetViews>
    <sheetView workbookViewId="0">
      <selection sqref="A1:F1"/>
    </sheetView>
  </sheetViews>
  <sheetFormatPr defaultRowHeight="14"/>
  <cols>
    <col min="1" max="1" width="31" customWidth="1"/>
    <col min="2" max="2" width="11" customWidth="1"/>
    <col min="3" max="4" width="13" customWidth="1"/>
    <col min="5" max="5" width="8" customWidth="1"/>
    <col min="6" max="6" width="42" customWidth="1"/>
  </cols>
  <sheetData>
    <row r="1" spans="1:6" ht="18">
      <c r="A1" s="34" t="s">
        <v>446</v>
      </c>
      <c r="B1" s="34"/>
      <c r="C1" s="34"/>
      <c r="D1" s="34"/>
      <c r="E1" s="34"/>
      <c r="F1" s="34"/>
    </row>
    <row r="2" spans="1:6">
      <c r="A2" s="25"/>
      <c r="B2" s="25"/>
      <c r="C2" s="25"/>
      <c r="D2" s="25"/>
      <c r="E2" s="25"/>
      <c r="F2" s="25"/>
    </row>
    <row r="3" spans="1:6" ht="42">
      <c r="A3" s="25"/>
      <c r="B3" s="26" t="s">
        <v>1</v>
      </c>
      <c r="C3" s="27">
        <f>SUM(D14,D21,D29)</f>
        <v>6075</v>
      </c>
      <c r="D3" s="26" t="s">
        <v>2</v>
      </c>
      <c r="E3" s="27">
        <f>C5</f>
        <v>10266.75</v>
      </c>
      <c r="F3" s="25"/>
    </row>
    <row r="4" spans="1:6" ht="42">
      <c r="A4" s="25"/>
      <c r="B4" s="26" t="s">
        <v>3</v>
      </c>
      <c r="C4" s="28">
        <v>1.69</v>
      </c>
      <c r="D4" s="25"/>
      <c r="E4" s="25"/>
      <c r="F4" s="25"/>
    </row>
    <row r="5" spans="1:6" ht="42">
      <c r="A5" s="25"/>
      <c r="B5" s="26" t="s">
        <v>4</v>
      </c>
      <c r="C5" s="27">
        <f>C3*C4</f>
        <v>10266.75</v>
      </c>
      <c r="D5" s="25"/>
      <c r="E5" s="25"/>
      <c r="F5" s="25"/>
    </row>
    <row r="6" spans="1:6">
      <c r="A6" s="25"/>
      <c r="B6" s="25"/>
      <c r="C6" s="25"/>
      <c r="D6" s="25"/>
      <c r="E6" s="25"/>
      <c r="F6" s="25"/>
    </row>
    <row r="7" spans="1:6">
      <c r="A7" s="25"/>
      <c r="B7" s="25"/>
      <c r="C7" s="25"/>
      <c r="D7" s="25"/>
      <c r="E7" s="25"/>
      <c r="F7" s="25"/>
    </row>
    <row r="8" spans="1:6">
      <c r="A8" s="29" t="s">
        <v>5</v>
      </c>
      <c r="B8" s="30" t="s">
        <v>6</v>
      </c>
      <c r="C8" s="30" t="s">
        <v>7</v>
      </c>
      <c r="D8" s="30" t="s">
        <v>8</v>
      </c>
      <c r="E8" s="30" t="s">
        <v>9</v>
      </c>
      <c r="F8" s="31" t="s">
        <v>10</v>
      </c>
    </row>
    <row r="9" spans="1:6">
      <c r="A9" s="35" t="s">
        <v>11</v>
      </c>
      <c r="B9" s="36"/>
      <c r="C9" s="36"/>
      <c r="D9" s="36"/>
      <c r="E9" s="37"/>
      <c r="F9" s="38"/>
    </row>
    <row r="10" spans="1:6">
      <c r="A10" s="12" t="s">
        <v>121</v>
      </c>
      <c r="B10" s="21">
        <v>1</v>
      </c>
      <c r="C10" s="21">
        <v>150</v>
      </c>
      <c r="D10" s="21">
        <f>B10*C10</f>
        <v>150</v>
      </c>
      <c r="E10" s="20">
        <v>1</v>
      </c>
      <c r="F10" s="14"/>
    </row>
    <row r="11" spans="1:6">
      <c r="A11" s="12" t="s">
        <v>90</v>
      </c>
      <c r="B11" s="21">
        <v>1</v>
      </c>
      <c r="C11" s="21">
        <v>420</v>
      </c>
      <c r="D11" s="21">
        <f>B11*C11</f>
        <v>420</v>
      </c>
      <c r="E11" s="20">
        <v>1</v>
      </c>
      <c r="F11" s="14"/>
    </row>
    <row r="12" spans="1:6">
      <c r="A12" s="12" t="s">
        <v>16</v>
      </c>
      <c r="B12" s="21">
        <v>3</v>
      </c>
      <c r="C12" s="21">
        <v>65</v>
      </c>
      <c r="D12" s="21">
        <f>B12*C12</f>
        <v>195</v>
      </c>
      <c r="E12" s="20">
        <v>1</v>
      </c>
      <c r="F12" s="14"/>
    </row>
    <row r="13" spans="1:6">
      <c r="A13" s="12" t="s">
        <v>14</v>
      </c>
      <c r="B13" s="21">
        <v>2</v>
      </c>
      <c r="C13" s="21">
        <v>120</v>
      </c>
      <c r="D13" s="21">
        <f>B13*C13</f>
        <v>240</v>
      </c>
      <c r="E13" s="20">
        <v>1</v>
      </c>
      <c r="F13" s="14"/>
    </row>
    <row r="14" spans="1:6">
      <c r="A14" s="12"/>
      <c r="B14" s="21"/>
      <c r="C14" s="22" t="s">
        <v>21</v>
      </c>
      <c r="D14" s="22">
        <f>SUM(D10:D13)</f>
        <v>1005</v>
      </c>
      <c r="E14" s="20"/>
      <c r="F14" s="14"/>
    </row>
    <row r="15" spans="1:6">
      <c r="A15" s="12"/>
      <c r="B15" s="21"/>
      <c r="C15" s="21"/>
      <c r="D15" s="21"/>
      <c r="E15" s="20"/>
      <c r="F15" s="14"/>
    </row>
    <row r="16" spans="1:6">
      <c r="A16" s="35" t="s">
        <v>70</v>
      </c>
      <c r="B16" s="39"/>
      <c r="C16" s="39"/>
      <c r="D16" s="39"/>
      <c r="E16" s="40"/>
      <c r="F16" s="38"/>
    </row>
    <row r="17" spans="1:6">
      <c r="A17" s="12" t="s">
        <v>447</v>
      </c>
      <c r="B17" s="21">
        <v>24</v>
      </c>
      <c r="C17" s="21">
        <v>110</v>
      </c>
      <c r="D17" s="21">
        <f>B17*C17</f>
        <v>2640</v>
      </c>
      <c r="E17" s="20">
        <v>1</v>
      </c>
      <c r="F17" s="14" t="s">
        <v>448</v>
      </c>
    </row>
    <row r="18" spans="1:6">
      <c r="A18" s="12" t="s">
        <v>449</v>
      </c>
      <c r="B18" s="21">
        <v>2</v>
      </c>
      <c r="C18" s="21">
        <v>160</v>
      </c>
      <c r="D18" s="21">
        <f>B18*C18</f>
        <v>320</v>
      </c>
      <c r="E18" s="20">
        <v>1</v>
      </c>
      <c r="F18" s="14"/>
    </row>
    <row r="19" spans="1:6">
      <c r="A19" s="12" t="s">
        <v>36</v>
      </c>
      <c r="B19" s="21">
        <v>2</v>
      </c>
      <c r="C19" s="21">
        <v>200</v>
      </c>
      <c r="D19" s="21">
        <f>B19*C19</f>
        <v>400</v>
      </c>
      <c r="E19" s="20">
        <v>1</v>
      </c>
      <c r="F19" s="14"/>
    </row>
    <row r="20" spans="1:6">
      <c r="A20" s="12" t="s">
        <v>450</v>
      </c>
      <c r="B20" s="21">
        <v>1</v>
      </c>
      <c r="C20" s="21">
        <v>500</v>
      </c>
      <c r="D20" s="21">
        <f>B20*C20</f>
        <v>500</v>
      </c>
      <c r="E20" s="20">
        <v>1</v>
      </c>
      <c r="F20" s="14" t="s">
        <v>451</v>
      </c>
    </row>
    <row r="21" spans="1:6">
      <c r="A21" s="12"/>
      <c r="B21" s="21"/>
      <c r="C21" s="22" t="s">
        <v>21</v>
      </c>
      <c r="D21" s="22">
        <f>SUM(D17:D20)</f>
        <v>3860</v>
      </c>
      <c r="E21" s="20"/>
      <c r="F21" s="14"/>
    </row>
    <row r="22" spans="1:6">
      <c r="A22" s="12"/>
      <c r="B22" s="21"/>
      <c r="C22" s="21"/>
      <c r="D22" s="21"/>
      <c r="E22" s="20"/>
      <c r="F22" s="14"/>
    </row>
    <row r="23" spans="1:6">
      <c r="A23" s="35" t="s">
        <v>171</v>
      </c>
      <c r="B23" s="39"/>
      <c r="C23" s="39"/>
      <c r="D23" s="39"/>
      <c r="E23" s="40"/>
      <c r="F23" s="38"/>
    </row>
    <row r="24" spans="1:6">
      <c r="A24" s="12" t="s">
        <v>33</v>
      </c>
      <c r="B24" s="21">
        <v>2</v>
      </c>
      <c r="C24" s="21">
        <v>140</v>
      </c>
      <c r="D24" s="21">
        <f>B24*C24</f>
        <v>280</v>
      </c>
      <c r="E24" s="20">
        <v>1</v>
      </c>
      <c r="F24" s="14"/>
    </row>
    <row r="25" spans="1:6">
      <c r="A25" s="12" t="s">
        <v>34</v>
      </c>
      <c r="B25" s="21">
        <v>2</v>
      </c>
      <c r="C25" s="21">
        <v>120</v>
      </c>
      <c r="D25" s="21">
        <f>B25*C25</f>
        <v>240</v>
      </c>
      <c r="E25" s="20">
        <v>1</v>
      </c>
      <c r="F25" s="14"/>
    </row>
    <row r="26" spans="1:6">
      <c r="A26" s="12" t="s">
        <v>43</v>
      </c>
      <c r="B26" s="21">
        <v>1</v>
      </c>
      <c r="C26" s="21">
        <v>120</v>
      </c>
      <c r="D26" s="21">
        <f>B26*C26</f>
        <v>120</v>
      </c>
      <c r="E26" s="20">
        <v>1</v>
      </c>
      <c r="F26" s="14"/>
    </row>
    <row r="27" spans="1:6">
      <c r="A27" s="12" t="s">
        <v>85</v>
      </c>
      <c r="B27" s="21">
        <v>1</v>
      </c>
      <c r="C27" s="21">
        <v>350</v>
      </c>
      <c r="D27" s="21">
        <f>B27*C27</f>
        <v>350</v>
      </c>
      <c r="E27" s="20">
        <v>1</v>
      </c>
      <c r="F27" s="14"/>
    </row>
    <row r="28" spans="1:6">
      <c r="A28" s="12" t="s">
        <v>88</v>
      </c>
      <c r="B28" s="21">
        <v>1</v>
      </c>
      <c r="C28" s="21">
        <v>220</v>
      </c>
      <c r="D28" s="21">
        <f>B28*C28</f>
        <v>220</v>
      </c>
      <c r="E28" s="20">
        <v>1</v>
      </c>
      <c r="F28" s="14"/>
    </row>
    <row r="29" spans="1:6">
      <c r="A29" s="12"/>
      <c r="B29" s="21"/>
      <c r="C29" s="22" t="s">
        <v>21</v>
      </c>
      <c r="D29" s="22">
        <f>SUM(D24:D28)</f>
        <v>1210</v>
      </c>
      <c r="E29" s="20"/>
      <c r="F29" s="14"/>
    </row>
    <row r="30" spans="1:6">
      <c r="A30" s="12"/>
      <c r="B30" s="21"/>
      <c r="C30" s="21"/>
      <c r="D30" s="21"/>
      <c r="E30" s="20"/>
      <c r="F30" s="14"/>
    </row>
    <row r="31" spans="1:6">
      <c r="A31" s="12"/>
      <c r="B31" s="23"/>
      <c r="C31" s="15" t="s">
        <v>21</v>
      </c>
      <c r="D31" s="15">
        <f>C3</f>
        <v>6075</v>
      </c>
      <c r="E31" s="13"/>
      <c r="F31" s="14"/>
    </row>
    <row r="32" spans="1:6" ht="28">
      <c r="A32" s="12"/>
      <c r="B32" s="23"/>
      <c r="C32" s="15" t="s">
        <v>45</v>
      </c>
      <c r="D32" s="15">
        <f>C4</f>
        <v>1.69</v>
      </c>
      <c r="E32" s="13"/>
      <c r="F32" s="14"/>
    </row>
    <row r="33" spans="1:6" ht="28">
      <c r="A33" s="16"/>
      <c r="B33" s="24"/>
      <c r="C33" s="18" t="s">
        <v>46</v>
      </c>
      <c r="D33" s="18">
        <f>C5</f>
        <v>10266.75</v>
      </c>
      <c r="E33" s="17"/>
      <c r="F33" s="19"/>
    </row>
  </sheetData>
  <mergeCells count="4">
    <mergeCell ref="A1:F1"/>
    <mergeCell ref="A9:F9"/>
    <mergeCell ref="A16:F16"/>
    <mergeCell ref="A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Summary</vt:lpstr>
      <vt:lpstr>Typical Bed Unit-32 ICU</vt:lpstr>
      <vt:lpstr>Emergency Department</vt:lpstr>
      <vt:lpstr>Imaging and Diagnostics</vt:lpstr>
      <vt:lpstr>Surgery and Operating Suite</vt:lpstr>
      <vt:lpstr>Endoscopy and GI</vt:lpstr>
      <vt:lpstr>Labor and Delivery</vt:lpstr>
      <vt:lpstr>NICU</vt:lpstr>
      <vt:lpstr>Medical Surgical Unit</vt:lpstr>
      <vt:lpstr>Cardiology and Cath Lab</vt:lpstr>
      <vt:lpstr>Oncology Center</vt:lpstr>
      <vt:lpstr>Behavioral Health</vt:lpstr>
      <vt:lpstr>Rehabilitation Therapy</vt:lpstr>
      <vt:lpstr>Clinical Laboratory</vt:lpstr>
      <vt:lpstr>Pharmacy</vt:lpstr>
      <vt:lpstr>Central Sterile Processing</vt:lpstr>
      <vt:lpstr>Ambulatory Clinics</vt:lpstr>
      <vt:lpstr>Public Amenities</vt:lpstr>
      <vt:lpstr>Administration</vt:lpstr>
      <vt:lpstr>Nutrition and Food Service</vt:lpstr>
      <vt:lpstr>Materials Management</vt:lpstr>
      <vt:lpstr>Environmental Services</vt:lpstr>
      <vt:lpstr>Facilities MEP and HVAC</vt:lpstr>
      <vt:lpstr>IT Security and Command Center</vt:lpstr>
      <vt:lpstr>Education and Conference</vt:lpstr>
      <vt:lpstr>Renal Dialysis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Moolky</dc:creator>
  <cp:lastModifiedBy>Ankur Moolky</cp:lastModifiedBy>
  <dcterms:created xsi:type="dcterms:W3CDTF">2026-06-22T20:44:54Z</dcterms:created>
  <dcterms:modified xsi:type="dcterms:W3CDTF">2026-06-22T20:45:56Z</dcterms:modified>
</cp:coreProperties>
</file>